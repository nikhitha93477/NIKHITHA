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1B21539C-48C9-49D7-99E0-DA921FDD7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ookup" sheetId="1" r:id="rId1"/>
    <sheet name="V_Data" sheetId="2" r:id="rId2"/>
    <sheet name="VLookup" sheetId="3" state="hidden" r:id="rId3"/>
    <sheet name="H_Data" sheetId="4" r:id="rId4"/>
    <sheet name="HLookup" sheetId="5" state="hidden" r:id="rId5"/>
    <sheet name="Index Match" sheetId="6" r:id="rId6"/>
    <sheet name="basic functions" sheetId="7" state="hidden" r:id="rId7"/>
    <sheet name="Task" sheetId="8" r:id="rId8"/>
    <sheet name="Function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CphI0TrVaeVHqSDAjwyEtIA+bfAIdWzCqLjhd0Bztw="/>
    </ext>
  </extLst>
</workbook>
</file>

<file path=xl/calcChain.xml><?xml version="1.0" encoding="utf-8"?>
<calcChain xmlns="http://schemas.openxmlformats.org/spreadsheetml/2006/main">
  <c r="J14" i="1" l="1"/>
  <c r="J13" i="1"/>
  <c r="J12" i="1"/>
  <c r="J10" i="1"/>
  <c r="J9" i="1"/>
  <c r="J8" i="1"/>
  <c r="J7" i="1"/>
  <c r="J6" i="1"/>
  <c r="J5" i="1"/>
  <c r="J4" i="1"/>
  <c r="J3" i="1"/>
  <c r="J2" i="1"/>
  <c r="J1" i="1"/>
  <c r="L13" i="2"/>
  <c r="L12" i="2"/>
  <c r="L10" i="2"/>
  <c r="L9" i="2"/>
  <c r="L8" i="2"/>
  <c r="L7" i="2"/>
  <c r="L6" i="2"/>
  <c r="L5" i="2"/>
  <c r="L4" i="2"/>
  <c r="L3" i="2"/>
  <c r="L2" i="2"/>
  <c r="L1" i="2"/>
  <c r="J16" i="4"/>
  <c r="J15" i="4"/>
  <c r="J14" i="4"/>
  <c r="J13" i="4"/>
  <c r="J12" i="4"/>
  <c r="J11" i="4"/>
  <c r="J10" i="4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I8" i="8"/>
  <c r="I6" i="8"/>
  <c r="I10" i="8"/>
  <c r="I9" i="8"/>
  <c r="I5" i="8"/>
  <c r="I4" i="8"/>
  <c r="C12" i="8"/>
  <c r="C21" i="9" a="1"/>
  <c r="C24" i="9" s="1"/>
  <c r="C2" i="3"/>
  <c r="B2" i="3"/>
  <c r="C21" i="9" l="1"/>
  <c r="C22" i="9"/>
  <c r="C23" i="9"/>
</calcChain>
</file>

<file path=xl/sharedStrings.xml><?xml version="1.0" encoding="utf-8"?>
<sst xmlns="http://schemas.openxmlformats.org/spreadsheetml/2006/main" count="640" uniqueCount="272">
  <si>
    <t>Employee ID</t>
  </si>
  <si>
    <t>Emp ID</t>
  </si>
  <si>
    <t>Name</t>
  </si>
  <si>
    <t>Salary</t>
  </si>
  <si>
    <t>Department</t>
  </si>
  <si>
    <t>Performance Score</t>
  </si>
  <si>
    <t>Joining Date</t>
  </si>
  <si>
    <t>1) Find Name of Employee 1004</t>
  </si>
  <si>
    <t>1) Find Name of Employee 1008</t>
  </si>
  <si>
    <t>Alice Carter</t>
  </si>
  <si>
    <t>Marketing</t>
  </si>
  <si>
    <t>2) Find Department of Employee 1015</t>
  </si>
  <si>
    <t>Benjamin Thompson</t>
  </si>
  <si>
    <t>Sales</t>
  </si>
  <si>
    <t>3) Find Salary of Employee 1023</t>
  </si>
  <si>
    <t>Charlotte Wilson</t>
  </si>
  <si>
    <t>Finance</t>
  </si>
  <si>
    <t>=VLOOKUP(lookup_value, table_array, col_index_num, [range_lookup])</t>
  </si>
  <si>
    <t>4) Find Joining Date of Employee 1031</t>
  </si>
  <si>
    <t>Daniel Martinez</t>
  </si>
  <si>
    <t>5) Find Performance Score of Employee 1007</t>
  </si>
  <si>
    <t>Emily Rodriguez</t>
  </si>
  <si>
    <t>3) Find Salary of Employee 1028</t>
  </si>
  <si>
    <t>6) Find Name of Employee 1038</t>
  </si>
  <si>
    <t>Frank Harris</t>
  </si>
  <si>
    <t>IT</t>
  </si>
  <si>
    <t xml:space="preserve">  </t>
  </si>
  <si>
    <t>7) Find Salary of Employee 1012</t>
  </si>
  <si>
    <t>Grace Johnson</t>
  </si>
  <si>
    <t>8) Find Department of Employee 1029</t>
  </si>
  <si>
    <t>Henry Lewis</t>
  </si>
  <si>
    <t>6) Find Name of Employee 1036</t>
  </si>
  <si>
    <t>Isabella Hall</t>
  </si>
  <si>
    <t>9) Find Joining Date of Employee 1036</t>
  </si>
  <si>
    <t>Jack Walker</t>
  </si>
  <si>
    <t>Katherine Young</t>
  </si>
  <si>
    <t>Liam Allen</t>
  </si>
  <si>
    <t>7) Find Department of Employee 1034</t>
  </si>
  <si>
    <t>Madison King</t>
  </si>
  <si>
    <t>Noah Scott</t>
  </si>
  <si>
    <t>Olivia Wright</t>
  </si>
  <si>
    <t>Patrick Adams</t>
  </si>
  <si>
    <t>10) Find Performance Score of Employee 1040</t>
  </si>
  <si>
    <t>Quinn Evans</t>
  </si>
  <si>
    <t>Rachel Baker</t>
  </si>
  <si>
    <t>8) Find Salary of Employee 1012</t>
  </si>
  <si>
    <t>Samuel Perez</t>
  </si>
  <si>
    <t>Taylor Clark</t>
  </si>
  <si>
    <t>Ulysses Turner</t>
  </si>
  <si>
    <t>Victoria Green</t>
  </si>
  <si>
    <t>Text Lookup Examples</t>
  </si>
  <si>
    <t>William White</t>
  </si>
  <si>
    <t>9) Find Joining Date of Employee 1024</t>
  </si>
  <si>
    <t>Xavier Nelson</t>
  </si>
  <si>
    <t>Yolanda Moore</t>
  </si>
  <si>
    <t>Zachary Hill</t>
  </si>
  <si>
    <t>Amelia Cooper</t>
  </si>
  <si>
    <t>Brandon Murphy</t>
  </si>
  <si>
    <t>11) Find salary of Grace Johnson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</si>
  <si>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</si>
  <si>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</si>
  <si>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</si>
  <si>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</si>
  <si>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</si>
  <si>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</si>
  <si>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</si>
  <si>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12) Find department of Olivia Wright</t>
  </si>
  <si>
    <t>Lookup by Name (Reverse Lookup)</t>
  </si>
  <si>
    <t>Julia Butler</t>
  </si>
  <si>
    <t>Kevin Gray</t>
  </si>
  <si>
    <t>Laura Mitchell</t>
  </si>
  <si>
    <t>Mason Carter</t>
  </si>
  <si>
    <t>Natalie Torres</t>
  </si>
  <si>
    <t>11) Salary of Grace Johnson</t>
  </si>
  <si>
    <t>Dynamic VLOOKUP</t>
  </si>
  <si>
    <t>12) Department of Olivia Wright</t>
  </si>
  <si>
    <t>Get Name</t>
  </si>
  <si>
    <t>Get Salary</t>
  </si>
  <si>
    <t>13) Joining Date of Jack Walker</t>
  </si>
  <si>
    <t>HR</t>
  </si>
  <si>
    <t>Performance score</t>
  </si>
  <si>
    <t>HLOOKUP(lookup_value, table_array, row_index_num, [range_lookup])</t>
  </si>
  <si>
    <t>MATCH = locate address
INDEX = bring item from address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</si>
  <si>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Department</t>
    </r>
    <r>
      <rPr>
        <sz val="11"/>
        <color theme="1"/>
        <rFont val="Calibri"/>
        <family val="2"/>
      </rPr>
      <t xml:space="preserve"> of employee ID </t>
    </r>
    <r>
      <rPr>
        <b/>
        <sz val="11"/>
        <color theme="1"/>
        <rFont val="Calibri"/>
        <family val="2"/>
      </rPr>
      <t>1015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</si>
  <si>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Salary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Grace Johnson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</si>
  <si>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Joining Date</t>
    </r>
    <r>
      <rPr>
        <sz val="11"/>
        <color theme="1"/>
        <rFont val="Calibri"/>
        <family val="2"/>
      </rPr>
      <t xml:space="preserve"> of employee ID </t>
    </r>
    <r>
      <rPr>
        <b/>
        <sz val="11"/>
        <color theme="1"/>
        <rFont val="Calibri"/>
        <family val="2"/>
      </rPr>
      <t>1032</t>
    </r>
    <r>
      <rPr>
        <sz val="11"/>
        <color theme="1"/>
        <rFont val="Calibri"/>
        <family val="2"/>
      </rPr>
      <t>?</t>
    </r>
  </si>
  <si>
    <t>Emp_ID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</si>
  <si>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Jack Walker</t>
    </r>
    <r>
      <rPr>
        <sz val="11"/>
        <color theme="1"/>
        <rFont val="Calibri"/>
        <family val="2"/>
      </rPr>
      <t>?</t>
    </r>
  </si>
  <si>
    <t>Join_Date</t>
  </si>
  <si>
    <t>Login_Time</t>
  </si>
  <si>
    <t>Logout_Time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</si>
  <si>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Name</t>
    </r>
    <r>
      <rPr>
        <sz val="11"/>
        <color theme="1"/>
        <rFont val="Calibri"/>
        <family val="2"/>
      </rPr>
      <t xml:space="preserve"> of the employee who has employee ID </t>
    </r>
    <r>
      <rPr>
        <b/>
        <sz val="11"/>
        <color theme="1"/>
        <rFont val="Calibri"/>
        <family val="2"/>
      </rPr>
      <t>1028</t>
    </r>
    <r>
      <rPr>
        <sz val="11"/>
        <color theme="1"/>
        <rFont val="Calibri"/>
        <family val="2"/>
      </rPr>
      <t>?</t>
    </r>
  </si>
  <si>
    <t>Target</t>
  </si>
  <si>
    <t>Email</t>
  </si>
  <si>
    <t>City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</si>
  <si>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Department</t>
    </r>
    <r>
      <rPr>
        <sz val="11"/>
        <color theme="1"/>
        <rFont val="Calibri"/>
        <family val="2"/>
      </rPr>
      <t xml:space="preserve"> of the employee </t>
    </r>
    <r>
      <rPr>
        <b/>
        <sz val="11"/>
        <color theme="1"/>
        <rFont val="Calibri"/>
        <family val="2"/>
      </rPr>
      <t>Olivia Wright</t>
    </r>
    <r>
      <rPr>
        <sz val="11"/>
        <color theme="1"/>
        <rFont val="Calibri"/>
        <family val="2"/>
      </rPr>
      <t>?</t>
    </r>
  </si>
  <si>
    <t>E001</t>
  </si>
  <si>
    <t>Rohan Sharma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</si>
  <si>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the employee in the </t>
    </r>
    <r>
      <rPr>
        <b/>
        <sz val="11"/>
        <color theme="1"/>
        <rFont val="Calibri"/>
        <family val="2"/>
      </rPr>
      <t>HR</t>
    </r>
    <r>
      <rPr>
        <sz val="11"/>
        <color theme="1"/>
        <rFont val="Calibri"/>
        <family val="2"/>
      </rPr>
      <t xml:space="preserve"> department with employee ID </t>
    </r>
    <r>
      <rPr>
        <b/>
        <sz val="11"/>
        <color theme="1"/>
        <rFont val="Calibri"/>
        <family val="2"/>
      </rPr>
      <t>1039</t>
    </r>
    <r>
      <rPr>
        <sz val="11"/>
        <color theme="1"/>
        <rFont val="Calibri"/>
        <family val="2"/>
      </rPr>
      <t>?</t>
    </r>
  </si>
  <si>
    <r>
      <rPr>
        <u/>
        <sz val="11"/>
        <color rgb="FF1155CC"/>
        <rFont val="Calibri"/>
        <family val="2"/>
      </rPr>
      <t>rohan@gmail.com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</si>
  <si>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Joining Date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Benjamin Thompson</t>
    </r>
    <r>
      <rPr>
        <sz val="11"/>
        <color theme="1"/>
        <rFont val="Calibri"/>
        <family val="2"/>
      </rPr>
      <t>?</t>
    </r>
  </si>
  <si>
    <t>Product</t>
  </si>
  <si>
    <t>Category</t>
  </si>
  <si>
    <t>Price</t>
  </si>
  <si>
    <t>Quantity Sold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</si>
  <si>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the employee </t>
    </r>
    <r>
      <rPr>
        <b/>
        <sz val="11"/>
        <color theme="1"/>
        <rFont val="Calibri"/>
        <family val="2"/>
      </rPr>
      <t>Zachary Hill</t>
    </r>
    <r>
      <rPr>
        <sz val="11"/>
        <color theme="1"/>
        <rFont val="Calibri"/>
        <family val="2"/>
      </rPr>
      <t>?</t>
    </r>
  </si>
  <si>
    <t>Region</t>
  </si>
  <si>
    <t>Bangalore</t>
  </si>
  <si>
    <t>Laptop</t>
  </si>
  <si>
    <t>Question</t>
  </si>
  <si>
    <t>Formula</t>
  </si>
  <si>
    <t>Electronics</t>
  </si>
  <si>
    <t>E002</t>
  </si>
  <si>
    <t>Priya Patel</t>
  </si>
  <si>
    <t>North</t>
  </si>
  <si>
    <t>What is the Department of employee ID 1007?</t>
  </si>
  <si>
    <t>Smartphone</t>
  </si>
  <si>
    <r>
      <rPr>
        <u/>
        <sz val="11"/>
        <color rgb="FF1155CC"/>
        <rFont val="Calibri"/>
        <family val="2"/>
      </rPr>
      <t>priya@yahoo.com</t>
    </r>
  </si>
  <si>
    <t>South</t>
  </si>
  <si>
    <t>Find the sum of prices of all products in the "Electronics" category?</t>
  </si>
  <si>
    <t>Tablet</t>
  </si>
  <si>
    <t>What is the Salary of employee Daniel Martinez?</t>
  </si>
  <si>
    <t>East</t>
  </si>
  <si>
    <t>Find the sum of prices from "Electronics" products in the "South" region.</t>
  </si>
  <si>
    <t>Mysore</t>
  </si>
  <si>
    <t>1. Extract Employee ID</t>
  </si>
  <si>
    <t>Headphones</t>
  </si>
  <si>
    <t>Accessories</t>
  </si>
  <si>
    <t>E003</t>
  </si>
  <si>
    <t>What is the Joining Date of employee ID 1031?</t>
  </si>
  <si>
    <t>Amit Kumar</t>
  </si>
  <si>
    <t>West</t>
  </si>
  <si>
    <t>Find the count of how many products are in the "Accessories" category.</t>
  </si>
  <si>
    <t>Keyboard</t>
  </si>
  <si>
    <r>
      <rPr>
        <u/>
        <sz val="11"/>
        <color rgb="FF1155CC"/>
        <rFont val="Calibri"/>
        <family val="2"/>
      </rPr>
      <t>amit@gmail.com</t>
    </r>
  </si>
  <si>
    <t>Find position of employee ID 1015 in column C:</t>
  </si>
  <si>
    <t>Find the count of  how many "Electronics" products were sold in the "North" region?</t>
  </si>
  <si>
    <t>Monitor</t>
  </si>
  <si>
    <t>Chennai</t>
  </si>
  <si>
    <t>Count the number of products</t>
  </si>
  <si>
    <t>2. Convert employee name to UPPERCASE</t>
  </si>
  <si>
    <t>Find Grace Johnson row position:</t>
  </si>
  <si>
    <t>Mouse</t>
  </si>
  <si>
    <t>E004</t>
  </si>
  <si>
    <t>Sneha Rao</t>
  </si>
  <si>
    <t>count number of sales (price)</t>
  </si>
  <si>
    <t>Printer</t>
  </si>
  <si>
    <t>Find "HR" department position (first HR only):</t>
  </si>
  <si>
    <r>
      <rPr>
        <u/>
        <sz val="11"/>
        <color rgb="FF1155CC"/>
        <rFont val="Calibri"/>
        <family val="2"/>
      </rPr>
      <t>sneha@gmail.com</t>
    </r>
  </si>
  <si>
    <t>find min price</t>
  </si>
  <si>
    <t>find max price</t>
  </si>
  <si>
    <t>Hyderabad</t>
  </si>
  <si>
    <t>Get 5th employee name:</t>
  </si>
  <si>
    <t>3. Convert employee name to lowercase</t>
  </si>
  <si>
    <t>sumif</t>
  </si>
  <si>
    <t>sumifs</t>
  </si>
  <si>
    <t>E005</t>
  </si>
  <si>
    <t>countif</t>
  </si>
  <si>
    <t>Vikram Singh</t>
  </si>
  <si>
    <t>countifs</t>
  </si>
  <si>
    <t>count</t>
  </si>
  <si>
    <t>Get 15th department:</t>
  </si>
  <si>
    <r>
      <rPr>
        <u/>
        <sz val="11"/>
        <color rgb="FF1155CC"/>
        <rFont val="Calibri"/>
        <family val="2"/>
      </rPr>
      <t>vikram@yahoo.com</t>
    </r>
  </si>
  <si>
    <t>Get 10th salary:</t>
  </si>
  <si>
    <t>Pune</t>
  </si>
  <si>
    <t>4. Convert employee name to Proper Case</t>
  </si>
  <si>
    <t>E006</t>
  </si>
  <si>
    <t>Neha Jain</t>
  </si>
  <si>
    <r>
      <rPr>
        <u/>
        <sz val="11"/>
        <color rgb="FF1155CC"/>
        <rFont val="Calibri"/>
        <family val="2"/>
      </rPr>
      <t>neha@gmail.com</t>
    </r>
  </si>
  <si>
    <t>Mumbai</t>
  </si>
  <si>
    <t>5. Count total characters in employee name</t>
  </si>
  <si>
    <t>E007</t>
  </si>
  <si>
    <t>Arjun Das</t>
  </si>
  <si>
    <r>
      <rPr>
        <u/>
        <sz val="11"/>
        <color rgb="FF1155CC"/>
        <rFont val="Calibri"/>
        <family val="2"/>
      </rPr>
      <t>arjun@gmail.com</t>
    </r>
  </si>
  <si>
    <t>Delhi</t>
  </si>
  <si>
    <t>6. Extract first 5 characters from employee name</t>
  </si>
  <si>
    <t>E008</t>
  </si>
  <si>
    <t>Pooja Shah</t>
  </si>
  <si>
    <r>
      <rPr>
        <u/>
        <sz val="11"/>
        <color rgb="FF1155CC"/>
        <rFont val="Calibri"/>
        <family val="2"/>
      </rPr>
      <t>pooja@yahoo.com</t>
    </r>
  </si>
  <si>
    <t>7. Extract last 4 characters from employee name</t>
  </si>
  <si>
    <t>E009</t>
  </si>
  <si>
    <t>Ravi Verma</t>
  </si>
  <si>
    <r>
      <rPr>
        <u/>
        <sz val="11"/>
        <color rgb="FF1155CC"/>
        <rFont val="Calibri"/>
        <family val="2"/>
      </rPr>
      <t>ravi@gmail.com</t>
    </r>
  </si>
  <si>
    <t>8. Combine Name and Department</t>
  </si>
  <si>
    <t>E010</t>
  </si>
  <si>
    <t>Kiran Nair</t>
  </si>
  <si>
    <r>
      <rPr>
        <u/>
        <sz val="11"/>
        <color rgb="FF1155CC"/>
        <rFont val="Calibri"/>
        <family val="2"/>
      </rPr>
      <t>kiran@gmail.com</t>
    </r>
  </si>
  <si>
    <t>Kochi</t>
  </si>
  <si>
    <t>9. Find joining year</t>
  </si>
  <si>
    <t>E011</t>
  </si>
  <si>
    <t>Deepak Gupta</t>
  </si>
  <si>
    <r>
      <rPr>
        <u/>
        <sz val="11"/>
        <color rgb="FF1155CC"/>
        <rFont val="Calibri"/>
        <family val="2"/>
      </rPr>
      <t>deepak@yahoo.com</t>
    </r>
  </si>
  <si>
    <t>10. Find joining month number</t>
  </si>
  <si>
    <t>E012</t>
  </si>
  <si>
    <t>Meena Iyer</t>
  </si>
  <si>
    <r>
      <rPr>
        <u/>
        <sz val="11"/>
        <color rgb="FF1155CC"/>
        <rFont val="Calibri"/>
        <family val="2"/>
      </rPr>
      <t>meena@gmail.com</t>
    </r>
  </si>
  <si>
    <t>11. Find joining day</t>
  </si>
  <si>
    <t>E013</t>
  </si>
  <si>
    <t>Suresh Babu</t>
  </si>
  <si>
    <r>
      <rPr>
        <u/>
        <sz val="11"/>
        <color rgb="FF1155CC"/>
        <rFont val="Calibri"/>
        <family val="2"/>
      </rPr>
      <t>suresh@gmail.com</t>
    </r>
  </si>
  <si>
    <t>12. Display month name</t>
  </si>
  <si>
    <t>E014</t>
  </si>
  <si>
    <t>Anjali Roy</t>
  </si>
  <si>
    <r>
      <rPr>
        <u/>
        <sz val="11"/>
        <color rgb="FF1155CC"/>
        <rFont val="Calibri"/>
        <family val="2"/>
      </rPr>
      <t>anjali@yahoo.com</t>
    </r>
  </si>
  <si>
    <t>Kolkata</t>
  </si>
  <si>
    <t>13. Display day name</t>
  </si>
  <si>
    <t>E015</t>
  </si>
  <si>
    <t>Rahul Jain</t>
  </si>
  <si>
    <r>
      <rPr>
        <u/>
        <sz val="11"/>
        <color rgb="FF1155CC"/>
        <rFont val="Calibri"/>
        <family val="2"/>
      </rPr>
      <t>rahul@gmail.com</t>
    </r>
  </si>
  <si>
    <t>14. Calculate days since joining</t>
  </si>
  <si>
    <t>E016</t>
  </si>
  <si>
    <t>Kavya Reddy</t>
  </si>
  <si>
    <r>
      <rPr>
        <u/>
        <sz val="11"/>
        <color rgb="FF1155CC"/>
        <rFont val="Calibri"/>
        <family val="2"/>
      </rPr>
      <t>kavya@gmail.com</t>
    </r>
  </si>
  <si>
    <t>15. Calculate experience in years</t>
  </si>
  <si>
    <t>E017</t>
  </si>
  <si>
    <t>Nitin Shah</t>
  </si>
  <si>
    <r>
      <rPr>
        <u/>
        <sz val="11"/>
        <color rgb="FF1155CC"/>
        <rFont val="Calibri"/>
        <family val="2"/>
      </rPr>
      <t>nitin@yahoo.com</t>
    </r>
  </si>
  <si>
    <t>Ahmedabad</t>
  </si>
  <si>
    <t>16. Calculate working hours</t>
  </si>
  <si>
    <t>E018</t>
  </si>
  <si>
    <t>Asha Menon</t>
  </si>
  <si>
    <t>John</t>
  </si>
  <si>
    <r>
      <rPr>
        <u/>
        <sz val="11"/>
        <color rgb="FF1155CC"/>
        <rFont val="Calibri"/>
        <family val="2"/>
      </rPr>
      <t>asha@gmail.com</t>
    </r>
  </si>
  <si>
    <t>find the sum of sales</t>
  </si>
  <si>
    <t>Alice</t>
  </si>
  <si>
    <t>17. Calculate working minutes</t>
  </si>
  <si>
    <t>Find how much sales done by Marketing department?</t>
  </si>
  <si>
    <t>E019</t>
  </si>
  <si>
    <t>Mohan Rao</t>
  </si>
  <si>
    <t>Find the sales where the department is "Sales" and the region is "East"?</t>
  </si>
  <si>
    <r>
      <rPr>
        <u/>
        <sz val="11"/>
        <color rgb="FF1155CC"/>
        <rFont val="Calibri"/>
        <family val="2"/>
      </rPr>
      <t>mohan@gmail.com</t>
    </r>
  </si>
  <si>
    <t>Emma</t>
  </si>
  <si>
    <t>Find the count of how many times "Marketing" appears in the department column?</t>
  </si>
  <si>
    <t>David</t>
  </si>
  <si>
    <t>18. Check if target achieved</t>
  </si>
  <si>
    <t>E020</t>
  </si>
  <si>
    <t>Divya Singh</t>
  </si>
  <si>
    <t>Find the count of how many employees are in the "HR" department and located in the "South" region?</t>
  </si>
  <si>
    <t>Lucy</t>
  </si>
  <si>
    <r>
      <rPr>
        <u/>
        <sz val="11"/>
        <color rgb="FF1155CC"/>
        <rFont val="Calibri"/>
        <family val="2"/>
      </rPr>
      <t>divya@yahoo.com</t>
    </r>
  </si>
  <si>
    <t>Count the number of departments in the organization</t>
  </si>
  <si>
    <t>Oliver</t>
  </si>
  <si>
    <t>find the average sales</t>
  </si>
  <si>
    <t>Sophie</t>
  </si>
  <si>
    <t>19. Check if sales are above 50,000</t>
  </si>
  <si>
    <t>20. Check if employee belongs to Sales department</t>
  </si>
  <si>
    <t>Convert all employee names into CAPITAL LETTERS.</t>
  </si>
  <si>
    <t>find min sales</t>
  </si>
  <si>
    <t>Convert all employee names into Proper Case.</t>
  </si>
  <si>
    <t>find max sales</t>
  </si>
  <si>
    <t>Find the total number of characters in each employee name.</t>
  </si>
  <si>
    <t>sum</t>
  </si>
  <si>
    <t>Extract the first 3 letters from employee names.</t>
  </si>
  <si>
    <t>Sumif</t>
  </si>
  <si>
    <t>Extract the last 4 letters from employee names.</t>
  </si>
  <si>
    <t>Sumifs</t>
  </si>
  <si>
    <t>Display the joining month name.</t>
  </si>
  <si>
    <t>Display the joining year.</t>
  </si>
  <si>
    <t>Calculate employee experience.</t>
  </si>
  <si>
    <t>Calculate total working hours.</t>
  </si>
  <si>
    <t>COUNTA</t>
  </si>
  <si>
    <t>Check whether the employee achieved the sales target.</t>
  </si>
  <si>
    <t>min</t>
  </si>
  <si>
    <t>Check whether sales are greater than ₹50,000.</t>
  </si>
  <si>
    <t>max</t>
  </si>
  <si>
    <t>Combine employee name and city into one cell.</t>
  </si>
  <si>
    <t>countblank</t>
  </si>
  <si>
    <t>unique</t>
  </si>
  <si>
    <t>Find the day of the week the employee joined.</t>
  </si>
  <si>
    <t>Calculate total minutes worked.</t>
  </si>
  <si>
    <t>Show "Bonus" if sales exceed ₹60,000, otherwise "No Bonus".</t>
  </si>
  <si>
    <t>count(unique())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</si>
</sst>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\-mm\-dd\ hh:mm:ss"/>
    <numFmt numFmtId="165" formatCode="d\-mmm\-yy"/>
    <numFmt numFmtId="166" formatCode="&quot;$&quot;#,##0_);[Red]\(&quot;$&quot;#,##0\)"/>
    <numFmt numFmtId="167" formatCode="dd\-mmm\-yy"/>
    <numFmt numFmtId="168" formatCode="d\-mmmm\-yy"/>
    <numFmt numFmtId="169" formatCode="&quot;$&quot;#,##0.00"/>
  </numFmts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1E1E1E"/>
      <name val="Quattrocento Sans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/>
    <xf numFmtId="0" fontId="4" fillId="0" borderId="0" xfId="0" applyFont="1" applyAlignment="1"/>
    <xf numFmtId="164" fontId="3" fillId="0" borderId="1" xfId="0" applyNumberFormat="1" applyFont="1" applyBorder="1"/>
    <xf numFmtId="0" fontId="5" fillId="0" borderId="0" xfId="0" applyFont="1" applyAlignment="1"/>
    <xf numFmtId="0" fontId="1" fillId="0" borderId="1" xfId="0" applyFont="1" applyBorder="1"/>
    <xf numFmtId="0" fontId="6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2" fillId="0" borderId="0" xfId="0" applyFont="1" applyAlignment="1"/>
    <xf numFmtId="165" fontId="2" fillId="0" borderId="0" xfId="0" applyNumberFormat="1" applyFont="1" applyAlignment="1"/>
    <xf numFmtId="20" fontId="2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/>
    <xf numFmtId="0" fontId="3" fillId="0" borderId="0" xfId="0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7" fontId="2" fillId="0" borderId="0" xfId="0" applyNumberFormat="1" applyFont="1" applyAlignment="1"/>
    <xf numFmtId="168" fontId="2" fillId="0" borderId="0" xfId="0" applyNumberFormat="1" applyFont="1" applyAlignment="1"/>
    <xf numFmtId="16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Task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unction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8</xdr:row>
      <xdr:rowOff>133350</xdr:rowOff>
    </xdr:from>
    <xdr:ext cx="4914900" cy="1609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93313" y="2979900"/>
          <a:ext cx="4905375" cy="1600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Find Name for Employee 1004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Find Department of Employee 1015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Find Salary of Employee 1028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 Find Joining Date of Employee 1031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 Find Performance Score of Employee 1007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 for 1024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Salary for 1010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 for 1036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5010150</xdr:colOff>
      <xdr:row>0</xdr:row>
      <xdr:rowOff>9525</xdr:rowOff>
    </xdr:from>
    <xdr:ext cx="5581650" cy="1304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474088" y="2875125"/>
          <a:ext cx="7743825" cy="18097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Excel, INDEX and MATCH are powerful functions that work together to look up values in a table or range. It us alternative to VLOOKUP or HLOOKUP.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INDEX returns the value of a cell at a specified row and column in a range.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array: The range of cells you want to search.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row_num: The row number within the array.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column_num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(optional)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column number within the array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9">
  <tableColumns count="5">
    <tableColumn id="1" xr3:uid="{00000000-0010-0000-0000-000001000000}" name="Product"/>
    <tableColumn id="2" xr3:uid="{00000000-0010-0000-0000-000002000000}" name="Category"/>
    <tableColumn id="3" xr3:uid="{00000000-0010-0000-0000-000003000000}" name="Price"/>
    <tableColumn id="4" xr3:uid="{00000000-0010-0000-0000-000004000000}" name="Quantity Sold"/>
    <tableColumn id="5" xr3:uid="{00000000-0010-0000-0000-000005000000}" name="Region"/>
  </tableColumns>
  <tableStyleInfo name="Tas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9">
  <tableColumns count="4">
    <tableColumn id="1" xr3:uid="{00000000-0010-0000-0100-000001000000}" name="Name"/>
    <tableColumn id="2" xr3:uid="{00000000-0010-0000-0100-000002000000}" name="Department"/>
    <tableColumn id="3" xr3:uid="{00000000-0010-0000-0100-000003000000}" name="Sales"/>
    <tableColumn id="4" xr3:uid="{00000000-0010-0000-0100-000004000000}" name="Region"/>
  </tableColumns>
  <tableStyleInfo name="Fun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yahoo.com" TargetMode="External"/><Relationship Id="rId13" Type="http://schemas.openxmlformats.org/officeDocument/2006/relationships/hyperlink" Target="mailto:suresh@gmail.com" TargetMode="External"/><Relationship Id="rId18" Type="http://schemas.openxmlformats.org/officeDocument/2006/relationships/hyperlink" Target="mailto:asha@gmail.com" TargetMode="External"/><Relationship Id="rId3" Type="http://schemas.openxmlformats.org/officeDocument/2006/relationships/hyperlink" Target="mailto:amit@gmail.com" TargetMode="External"/><Relationship Id="rId7" Type="http://schemas.openxmlformats.org/officeDocument/2006/relationships/hyperlink" Target="mailto:arjun@gmail.com" TargetMode="External"/><Relationship Id="rId12" Type="http://schemas.openxmlformats.org/officeDocument/2006/relationships/hyperlink" Target="mailto:meena@gmail.com" TargetMode="External"/><Relationship Id="rId17" Type="http://schemas.openxmlformats.org/officeDocument/2006/relationships/hyperlink" Target="mailto:nitin@yahoo.com" TargetMode="External"/><Relationship Id="rId2" Type="http://schemas.openxmlformats.org/officeDocument/2006/relationships/hyperlink" Target="mailto:priya@yahoo.com" TargetMode="External"/><Relationship Id="rId16" Type="http://schemas.openxmlformats.org/officeDocument/2006/relationships/hyperlink" Target="mailto:kavya@gmail.com" TargetMode="External"/><Relationship Id="rId20" Type="http://schemas.openxmlformats.org/officeDocument/2006/relationships/hyperlink" Target="mailto:divya@yahoo.com" TargetMode="External"/><Relationship Id="rId1" Type="http://schemas.openxmlformats.org/officeDocument/2006/relationships/hyperlink" Target="mailto:rohan@gmail.com" TargetMode="External"/><Relationship Id="rId6" Type="http://schemas.openxmlformats.org/officeDocument/2006/relationships/hyperlink" Target="mailto:neha@gmail.com" TargetMode="External"/><Relationship Id="rId11" Type="http://schemas.openxmlformats.org/officeDocument/2006/relationships/hyperlink" Target="mailto:deepak@yahoo.com" TargetMode="External"/><Relationship Id="rId5" Type="http://schemas.openxmlformats.org/officeDocument/2006/relationships/hyperlink" Target="mailto:vikram@yahoo.com" TargetMode="External"/><Relationship Id="rId15" Type="http://schemas.openxmlformats.org/officeDocument/2006/relationships/hyperlink" Target="mailto:rahul@gmail.com" TargetMode="External"/><Relationship Id="rId10" Type="http://schemas.openxmlformats.org/officeDocument/2006/relationships/hyperlink" Target="mailto:kiran@gmail.com" TargetMode="External"/><Relationship Id="rId19" Type="http://schemas.openxmlformats.org/officeDocument/2006/relationships/hyperlink" Target="mailto:mohan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ravi@gmail.com" TargetMode="External"/><Relationship Id="rId14" Type="http://schemas.openxmlformats.org/officeDocument/2006/relationships/hyperlink" Target="mailto:anjali@yaho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15" sqref="J15"/>
    </sheetView>
  </sheetViews>
  <sheetFormatPr defaultColWidth="14.44140625" defaultRowHeight="15" customHeight="1"/>
  <cols>
    <col min="1" max="1" width="12" customWidth="1"/>
    <col min="2" max="2" width="20.6640625" customWidth="1"/>
    <col min="3" max="3" width="15.44140625" customWidth="1"/>
    <col min="4" max="4" width="8.6640625" customWidth="1"/>
    <col min="5" max="5" width="20.109375" customWidth="1"/>
    <col min="6" max="6" width="16.88671875" customWidth="1"/>
    <col min="7" max="7" width="3.5546875" customWidth="1"/>
    <col min="8" max="8" width="3.44140625" customWidth="1"/>
    <col min="9" max="9" width="44.44140625" customWidth="1"/>
    <col min="10" max="10" width="33.6640625" customWidth="1"/>
    <col min="11" max="11" width="29.6640625" customWidth="1"/>
    <col min="12" max="26" width="8.6640625" customWidth="1"/>
  </cols>
  <sheetData>
    <row r="1" spans="1:10" ht="14.25" customHeight="1">
      <c r="A1" s="1" t="s">
        <v>0</v>
      </c>
      <c r="B1" s="1" t="s">
        <v>2</v>
      </c>
      <c r="C1" s="1" t="s">
        <v>4</v>
      </c>
      <c r="D1" s="1" t="s">
        <v>3</v>
      </c>
      <c r="E1" s="1" t="s">
        <v>6</v>
      </c>
      <c r="F1" s="1" t="s">
        <v>5</v>
      </c>
      <c r="I1" s="4" t="s">
        <v>7</v>
      </c>
      <c r="J1" s="2" t="str">
        <f>_xlfn.XLOOKUP(1004,A2:A41,B2:B41)</f>
        <v>Daniel Martinez</v>
      </c>
    </row>
    <row r="2" spans="1:10" ht="14.25" customHeight="1">
      <c r="A2" s="3">
        <v>1001</v>
      </c>
      <c r="B2" s="3" t="s">
        <v>9</v>
      </c>
      <c r="C2" s="3" t="s">
        <v>10</v>
      </c>
      <c r="D2" s="3">
        <v>50627</v>
      </c>
      <c r="E2" s="5">
        <v>42035</v>
      </c>
      <c r="F2" s="3">
        <v>8</v>
      </c>
      <c r="I2" s="4" t="s">
        <v>11</v>
      </c>
      <c r="J2" t="str">
        <f>_xlfn.XLOOKUP(1015,A2:A41,C2:C41)</f>
        <v>Marketing</v>
      </c>
    </row>
    <row r="3" spans="1:10" ht="14.25" customHeight="1">
      <c r="A3" s="3">
        <v>1002</v>
      </c>
      <c r="B3" s="3" t="s">
        <v>12</v>
      </c>
      <c r="C3" s="3" t="s">
        <v>13</v>
      </c>
      <c r="D3" s="3">
        <v>48792</v>
      </c>
      <c r="E3" s="5">
        <v>42063</v>
      </c>
      <c r="F3" s="3">
        <v>5</v>
      </c>
      <c r="I3" s="4" t="s">
        <v>22</v>
      </c>
      <c r="J3">
        <f>_xlfn.XLOOKUP(1028,A2:A41,D2:D41)</f>
        <v>85758</v>
      </c>
    </row>
    <row r="4" spans="1:10" ht="14.25" customHeight="1">
      <c r="A4" s="3">
        <v>1003</v>
      </c>
      <c r="B4" s="3" t="s">
        <v>15</v>
      </c>
      <c r="C4" s="3" t="s">
        <v>16</v>
      </c>
      <c r="D4" s="3">
        <v>83323</v>
      </c>
      <c r="E4" s="5">
        <v>42094</v>
      </c>
      <c r="F4" s="3">
        <v>2</v>
      </c>
      <c r="I4" s="6" t="s">
        <v>18</v>
      </c>
      <c r="J4">
        <f>_xlfn.XLOOKUP(1031,A2:A41,E2:E41)</f>
        <v>42947</v>
      </c>
    </row>
    <row r="5" spans="1:10" ht="14.25" customHeight="1">
      <c r="A5" s="3">
        <v>1004</v>
      </c>
      <c r="B5" s="3" t="s">
        <v>19</v>
      </c>
      <c r="C5" s="3" t="s">
        <v>13</v>
      </c>
      <c r="D5" s="3">
        <v>83021</v>
      </c>
      <c r="E5" s="5">
        <v>42124</v>
      </c>
      <c r="F5" s="3">
        <v>5</v>
      </c>
      <c r="I5" s="6" t="s">
        <v>20</v>
      </c>
      <c r="J5">
        <f>_xlfn.XLOOKUP(1007,A2:A41,F2:F41)</f>
        <v>9</v>
      </c>
    </row>
    <row r="6" spans="1:10" ht="14.25" customHeight="1">
      <c r="A6" s="3">
        <v>1005</v>
      </c>
      <c r="B6" s="3" t="s">
        <v>21</v>
      </c>
      <c r="C6" s="3" t="s">
        <v>13</v>
      </c>
      <c r="D6" s="3">
        <v>48433</v>
      </c>
      <c r="E6" s="5">
        <v>42155</v>
      </c>
      <c r="F6" s="3">
        <v>8</v>
      </c>
      <c r="I6" s="6" t="s">
        <v>31</v>
      </c>
      <c r="J6" t="str">
        <f>_xlfn.XLOOKUP(1036,A2:A41,B2:B41)</f>
        <v>Julia Butler</v>
      </c>
    </row>
    <row r="7" spans="1:10" ht="14.25" customHeight="1">
      <c r="A7" s="3">
        <v>1006</v>
      </c>
      <c r="B7" s="3" t="s">
        <v>24</v>
      </c>
      <c r="C7" s="3" t="s">
        <v>25</v>
      </c>
      <c r="D7" s="3">
        <v>83001</v>
      </c>
      <c r="E7" s="5">
        <v>42185</v>
      </c>
      <c r="F7" s="3">
        <v>9</v>
      </c>
      <c r="I7" s="6" t="s">
        <v>37</v>
      </c>
      <c r="J7" t="str">
        <f>_xlfn.XLOOKUP(1034,A2:A41,C2:C41)</f>
        <v>HR</v>
      </c>
    </row>
    <row r="8" spans="1:10" ht="14.25" customHeight="1">
      <c r="A8" s="3">
        <v>1007</v>
      </c>
      <c r="B8" s="3" t="s">
        <v>28</v>
      </c>
      <c r="C8" s="3" t="s">
        <v>16</v>
      </c>
      <c r="D8" s="3">
        <v>51016</v>
      </c>
      <c r="E8" s="5">
        <v>42216</v>
      </c>
      <c r="F8" s="3">
        <v>9</v>
      </c>
      <c r="I8" s="6" t="s">
        <v>45</v>
      </c>
      <c r="J8">
        <f>_xlfn.XLOOKUP(1012,A2:A41,D2:D41)</f>
        <v>57159</v>
      </c>
    </row>
    <row r="9" spans="1:10" ht="14.25" customHeight="1">
      <c r="A9" s="3">
        <v>1008</v>
      </c>
      <c r="B9" s="3" t="s">
        <v>30</v>
      </c>
      <c r="C9" s="3" t="s">
        <v>16</v>
      </c>
      <c r="D9" s="3">
        <v>63897</v>
      </c>
      <c r="E9" s="5">
        <v>42247</v>
      </c>
      <c r="F9" s="3">
        <v>1</v>
      </c>
      <c r="I9" s="6" t="s">
        <v>52</v>
      </c>
      <c r="J9">
        <f>_xlfn.XLOOKUP(1024,A2:A41,E2:E41)</f>
        <v>42735</v>
      </c>
    </row>
    <row r="10" spans="1:10" ht="14.25" customHeight="1">
      <c r="A10" s="3">
        <v>1009</v>
      </c>
      <c r="B10" s="3" t="s">
        <v>32</v>
      </c>
      <c r="C10" s="3" t="s">
        <v>16</v>
      </c>
      <c r="D10" s="3">
        <v>42612</v>
      </c>
      <c r="E10" s="5">
        <v>42277</v>
      </c>
      <c r="F10" s="3">
        <v>9</v>
      </c>
      <c r="I10" s="6" t="s">
        <v>42</v>
      </c>
      <c r="J10">
        <f>_xlfn.XLOOKUP(1040,A2:A41,F2:F41)</f>
        <v>5</v>
      </c>
    </row>
    <row r="11" spans="1:10" ht="14.25" customHeight="1">
      <c r="A11" s="3">
        <v>1010</v>
      </c>
      <c r="B11" s="3" t="s">
        <v>34</v>
      </c>
      <c r="C11" s="3" t="s">
        <v>13</v>
      </c>
      <c r="D11" s="3">
        <v>63483</v>
      </c>
      <c r="E11" s="5">
        <v>42308</v>
      </c>
      <c r="F11" s="3">
        <v>7</v>
      </c>
      <c r="I11" s="6" t="s">
        <v>67</v>
      </c>
    </row>
    <row r="12" spans="1:10" ht="14.25" customHeight="1">
      <c r="A12" s="3">
        <v>1011</v>
      </c>
      <c r="B12" s="3" t="s">
        <v>35</v>
      </c>
      <c r="C12" s="3" t="s">
        <v>10</v>
      </c>
      <c r="D12" s="3">
        <v>88555</v>
      </c>
      <c r="E12" s="5">
        <v>42338</v>
      </c>
      <c r="F12" s="3">
        <v>9</v>
      </c>
      <c r="I12" s="6" t="s">
        <v>73</v>
      </c>
      <c r="J12">
        <f>_xlfn.XLOOKUP("grace johnson",B2:B41,D2:D41)</f>
        <v>51016</v>
      </c>
    </row>
    <row r="13" spans="1:10" ht="14.25" customHeight="1">
      <c r="A13" s="3">
        <v>1012</v>
      </c>
      <c r="B13" s="3" t="s">
        <v>36</v>
      </c>
      <c r="C13" s="3" t="s">
        <v>16</v>
      </c>
      <c r="D13" s="3">
        <v>57159</v>
      </c>
      <c r="E13" s="5">
        <v>42369</v>
      </c>
      <c r="F13" s="3">
        <v>8</v>
      </c>
      <c r="I13" s="6" t="s">
        <v>75</v>
      </c>
      <c r="J13" t="str">
        <f>_xlfn.XLOOKUP("olivia wright",B2:B41,C2:C41)</f>
        <v>Marketing</v>
      </c>
    </row>
    <row r="14" spans="1:10" ht="14.25" customHeight="1">
      <c r="A14" s="3">
        <v>1013</v>
      </c>
      <c r="B14" s="3" t="s">
        <v>38</v>
      </c>
      <c r="C14" s="3" t="s">
        <v>13</v>
      </c>
      <c r="D14" s="3">
        <v>84974</v>
      </c>
      <c r="E14" s="5">
        <v>42400</v>
      </c>
      <c r="F14" s="3">
        <v>1</v>
      </c>
      <c r="I14" s="6" t="s">
        <v>78</v>
      </c>
      <c r="J14">
        <f>_xlfn.XLOOKUP("Jack Walker",B2:B41,E2:E41)</f>
        <v>42308</v>
      </c>
    </row>
    <row r="15" spans="1:10" ht="14.25" customHeight="1">
      <c r="A15" s="3">
        <v>1014</v>
      </c>
      <c r="B15" s="3" t="s">
        <v>39</v>
      </c>
      <c r="C15" s="3" t="s">
        <v>25</v>
      </c>
      <c r="D15" s="3">
        <v>80994</v>
      </c>
      <c r="E15" s="5">
        <v>42429</v>
      </c>
      <c r="F15" s="3">
        <v>8</v>
      </c>
    </row>
    <row r="16" spans="1:10" ht="14.25" customHeight="1">
      <c r="A16" s="3">
        <v>1015</v>
      </c>
      <c r="B16" s="3" t="s">
        <v>40</v>
      </c>
      <c r="C16" s="3" t="s">
        <v>10</v>
      </c>
      <c r="D16" s="3">
        <v>54541</v>
      </c>
      <c r="E16" s="5">
        <v>42460</v>
      </c>
      <c r="F16" s="3">
        <v>8</v>
      </c>
    </row>
    <row r="17" spans="1:6" ht="14.25" customHeight="1">
      <c r="A17" s="3">
        <v>1016</v>
      </c>
      <c r="B17" s="3" t="s">
        <v>41</v>
      </c>
      <c r="C17" s="3" t="s">
        <v>25</v>
      </c>
      <c r="D17" s="3">
        <v>75920</v>
      </c>
      <c r="E17" s="5">
        <v>42490</v>
      </c>
      <c r="F17" s="3">
        <v>3</v>
      </c>
    </row>
    <row r="18" spans="1:6" ht="14.25" customHeight="1">
      <c r="A18" s="3">
        <v>1017</v>
      </c>
      <c r="B18" s="3" t="s">
        <v>43</v>
      </c>
      <c r="C18" s="3" t="s">
        <v>10</v>
      </c>
      <c r="D18" s="3">
        <v>66531</v>
      </c>
      <c r="E18" s="5">
        <v>42521</v>
      </c>
      <c r="F18" s="3">
        <v>1</v>
      </c>
    </row>
    <row r="19" spans="1:6" ht="14.25" customHeight="1">
      <c r="A19" s="3">
        <v>1018</v>
      </c>
      <c r="B19" s="3" t="s">
        <v>44</v>
      </c>
      <c r="C19" s="3" t="s">
        <v>13</v>
      </c>
      <c r="D19" s="3">
        <v>41585</v>
      </c>
      <c r="E19" s="5">
        <v>42551</v>
      </c>
      <c r="F19" s="3">
        <v>8</v>
      </c>
    </row>
    <row r="20" spans="1:6" ht="14.25" customHeight="1">
      <c r="A20" s="3">
        <v>1019</v>
      </c>
      <c r="B20" s="3" t="s">
        <v>46</v>
      </c>
      <c r="C20" s="3" t="s">
        <v>79</v>
      </c>
      <c r="D20" s="3">
        <v>43943</v>
      </c>
      <c r="E20" s="5">
        <v>42582</v>
      </c>
      <c r="F20" s="3">
        <v>3</v>
      </c>
    </row>
    <row r="21" spans="1:6" ht="14.25" customHeight="1">
      <c r="A21" s="3">
        <v>1020</v>
      </c>
      <c r="B21" s="3" t="s">
        <v>47</v>
      </c>
      <c r="C21" s="3" t="s">
        <v>10</v>
      </c>
      <c r="D21" s="3">
        <v>63939</v>
      </c>
      <c r="E21" s="5">
        <v>42613</v>
      </c>
      <c r="F21" s="3">
        <v>3</v>
      </c>
    </row>
    <row r="22" spans="1:6" ht="14.25" customHeight="1">
      <c r="A22" s="3">
        <v>1021</v>
      </c>
      <c r="B22" s="3" t="s">
        <v>48</v>
      </c>
      <c r="C22" s="3" t="s">
        <v>25</v>
      </c>
      <c r="D22" s="3">
        <v>59457</v>
      </c>
      <c r="E22" s="5">
        <v>42643</v>
      </c>
      <c r="F22" s="3">
        <v>1</v>
      </c>
    </row>
    <row r="23" spans="1:6" ht="14.25" customHeight="1">
      <c r="A23" s="3">
        <v>1022</v>
      </c>
      <c r="B23" s="3" t="s">
        <v>49</v>
      </c>
      <c r="C23" s="3" t="s">
        <v>13</v>
      </c>
      <c r="D23" s="3">
        <v>41021</v>
      </c>
      <c r="E23" s="5">
        <v>42674</v>
      </c>
      <c r="F23" s="3">
        <v>5</v>
      </c>
    </row>
    <row r="24" spans="1:6" ht="14.25" customHeight="1">
      <c r="A24" s="3">
        <v>1023</v>
      </c>
      <c r="B24" s="3" t="s">
        <v>51</v>
      </c>
      <c r="C24" s="3" t="s">
        <v>10</v>
      </c>
      <c r="D24" s="3">
        <v>51653</v>
      </c>
      <c r="E24" s="5">
        <v>42704</v>
      </c>
      <c r="F24" s="3">
        <v>7</v>
      </c>
    </row>
    <row r="25" spans="1:6" ht="14.25" customHeight="1">
      <c r="A25" s="3">
        <v>1024</v>
      </c>
      <c r="B25" s="3" t="s">
        <v>53</v>
      </c>
      <c r="C25" s="3" t="s">
        <v>79</v>
      </c>
      <c r="D25" s="3">
        <v>83573</v>
      </c>
      <c r="E25" s="5">
        <v>42735</v>
      </c>
      <c r="F25" s="3">
        <v>9</v>
      </c>
    </row>
    <row r="26" spans="1:6" ht="14.25" customHeight="1">
      <c r="A26" s="3">
        <v>1025</v>
      </c>
      <c r="B26" s="3" t="s">
        <v>54</v>
      </c>
      <c r="C26" s="3" t="s">
        <v>79</v>
      </c>
      <c r="D26" s="3">
        <v>53417</v>
      </c>
      <c r="E26" s="5">
        <v>42766</v>
      </c>
      <c r="F26" s="3">
        <v>7</v>
      </c>
    </row>
    <row r="27" spans="1:6" ht="14.25" customHeight="1">
      <c r="A27" s="3">
        <v>1026</v>
      </c>
      <c r="B27" s="3" t="s">
        <v>55</v>
      </c>
      <c r="C27" s="3" t="s">
        <v>16</v>
      </c>
      <c r="D27" s="3">
        <v>80757</v>
      </c>
      <c r="E27" s="5">
        <v>42794</v>
      </c>
      <c r="F27" s="3">
        <v>9</v>
      </c>
    </row>
    <row r="28" spans="1:6" ht="14.25" customHeight="1">
      <c r="A28" s="3">
        <v>1027</v>
      </c>
      <c r="B28" s="3" t="s">
        <v>56</v>
      </c>
      <c r="C28" s="3" t="s">
        <v>16</v>
      </c>
      <c r="D28" s="3">
        <v>49692</v>
      </c>
      <c r="E28" s="5">
        <v>42825</v>
      </c>
      <c r="F28" s="3">
        <v>8</v>
      </c>
    </row>
    <row r="29" spans="1:6" ht="14.25" customHeight="1">
      <c r="A29" s="3">
        <v>1028</v>
      </c>
      <c r="B29" s="3" t="s">
        <v>57</v>
      </c>
      <c r="C29" s="3" t="s">
        <v>25</v>
      </c>
      <c r="D29" s="3">
        <v>85758</v>
      </c>
      <c r="E29" s="5">
        <v>42855</v>
      </c>
      <c r="F29" s="3">
        <v>2</v>
      </c>
    </row>
    <row r="30" spans="1:6" ht="14.25" customHeight="1">
      <c r="A30" s="3">
        <v>1029</v>
      </c>
      <c r="B30" s="3" t="s">
        <v>59</v>
      </c>
      <c r="C30" s="3" t="s">
        <v>10</v>
      </c>
      <c r="D30" s="3">
        <v>46873</v>
      </c>
      <c r="E30" s="5">
        <v>42886</v>
      </c>
      <c r="F30" s="3">
        <v>1</v>
      </c>
    </row>
    <row r="31" spans="1:6" ht="14.25" customHeight="1">
      <c r="A31" s="3">
        <v>1030</v>
      </c>
      <c r="B31" s="3" t="s">
        <v>60</v>
      </c>
      <c r="C31" s="3" t="s">
        <v>10</v>
      </c>
      <c r="D31" s="3">
        <v>45675</v>
      </c>
      <c r="E31" s="5">
        <v>42916</v>
      </c>
      <c r="F31" s="3">
        <v>7</v>
      </c>
    </row>
    <row r="32" spans="1:6" ht="14.25" customHeight="1">
      <c r="A32" s="3">
        <v>1031</v>
      </c>
      <c r="B32" s="3" t="s">
        <v>61</v>
      </c>
      <c r="C32" s="3" t="s">
        <v>16</v>
      </c>
      <c r="D32" s="3">
        <v>40161</v>
      </c>
      <c r="E32" s="5">
        <v>42947</v>
      </c>
      <c r="F32" s="3">
        <v>7</v>
      </c>
    </row>
    <row r="33" spans="1:6" ht="14.25" customHeight="1">
      <c r="A33" s="3">
        <v>1032</v>
      </c>
      <c r="B33" s="3" t="s">
        <v>62</v>
      </c>
      <c r="C33" s="3" t="s">
        <v>10</v>
      </c>
      <c r="D33" s="3">
        <v>77065</v>
      </c>
      <c r="E33" s="5">
        <v>42978</v>
      </c>
      <c r="F33" s="3">
        <v>8</v>
      </c>
    </row>
    <row r="34" spans="1:6" ht="14.25" customHeight="1">
      <c r="A34" s="3">
        <v>1033</v>
      </c>
      <c r="B34" s="3" t="s">
        <v>63</v>
      </c>
      <c r="C34" s="3" t="s">
        <v>10</v>
      </c>
      <c r="D34" s="3">
        <v>66557</v>
      </c>
      <c r="E34" s="5">
        <v>43008</v>
      </c>
      <c r="F34" s="3">
        <v>5</v>
      </c>
    </row>
    <row r="35" spans="1:6" ht="14.25" customHeight="1">
      <c r="A35" s="3">
        <v>1034</v>
      </c>
      <c r="B35" s="3" t="s">
        <v>64</v>
      </c>
      <c r="C35" s="3" t="s">
        <v>79</v>
      </c>
      <c r="D35" s="3">
        <v>73763</v>
      </c>
      <c r="E35" s="5">
        <v>43039</v>
      </c>
      <c r="F35" s="3">
        <v>3</v>
      </c>
    </row>
    <row r="36" spans="1:6" ht="14.25" customHeight="1">
      <c r="A36" s="3">
        <v>1035</v>
      </c>
      <c r="B36" s="3" t="s">
        <v>65</v>
      </c>
      <c r="C36" s="3" t="s">
        <v>16</v>
      </c>
      <c r="D36" s="3">
        <v>72606</v>
      </c>
      <c r="E36" s="5">
        <v>43069</v>
      </c>
      <c r="F36" s="3">
        <v>8</v>
      </c>
    </row>
    <row r="37" spans="1:6" ht="14.25" customHeight="1">
      <c r="A37" s="3">
        <v>1036</v>
      </c>
      <c r="B37" s="3" t="s">
        <v>68</v>
      </c>
      <c r="C37" s="3" t="s">
        <v>13</v>
      </c>
      <c r="D37" s="3">
        <v>51534</v>
      </c>
      <c r="E37" s="5">
        <v>43100</v>
      </c>
      <c r="F37" s="3">
        <v>6</v>
      </c>
    </row>
    <row r="38" spans="1:6" ht="14.25" customHeight="1">
      <c r="A38" s="3">
        <v>1037</v>
      </c>
      <c r="B38" s="3" t="s">
        <v>69</v>
      </c>
      <c r="C38" s="3" t="s">
        <v>16</v>
      </c>
      <c r="D38" s="3">
        <v>69127</v>
      </c>
      <c r="E38" s="5">
        <v>43131</v>
      </c>
      <c r="F38" s="3">
        <v>3</v>
      </c>
    </row>
    <row r="39" spans="1:6" ht="14.25" customHeight="1">
      <c r="A39" s="3">
        <v>1038</v>
      </c>
      <c r="B39" s="3" t="s">
        <v>70</v>
      </c>
      <c r="C39" s="3" t="s">
        <v>13</v>
      </c>
      <c r="D39" s="3">
        <v>80397</v>
      </c>
      <c r="E39" s="5">
        <v>43159</v>
      </c>
      <c r="F39" s="3">
        <v>1</v>
      </c>
    </row>
    <row r="40" spans="1:6" ht="14.25" customHeight="1">
      <c r="A40" s="3">
        <v>1039</v>
      </c>
      <c r="B40" s="3" t="s">
        <v>71</v>
      </c>
      <c r="C40" s="3" t="s">
        <v>79</v>
      </c>
      <c r="D40" s="3">
        <v>65851</v>
      </c>
      <c r="E40" s="5">
        <v>43190</v>
      </c>
      <c r="F40" s="3">
        <v>3</v>
      </c>
    </row>
    <row r="41" spans="1:6" ht="14.25" customHeight="1">
      <c r="A41" s="3">
        <v>1040</v>
      </c>
      <c r="B41" s="3" t="s">
        <v>72</v>
      </c>
      <c r="C41" s="3" t="s">
        <v>25</v>
      </c>
      <c r="D41" s="3">
        <v>41016</v>
      </c>
      <c r="E41" s="5">
        <v>43220</v>
      </c>
      <c r="F41" s="3">
        <v>5</v>
      </c>
    </row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B1" workbookViewId="0">
      <selection activeCell="L15" sqref="L15"/>
    </sheetView>
  </sheetViews>
  <sheetFormatPr defaultColWidth="14.44140625" defaultRowHeight="15" customHeight="1"/>
  <cols>
    <col min="1" max="1" width="11.33203125" customWidth="1"/>
    <col min="2" max="2" width="12" customWidth="1"/>
    <col min="3" max="3" width="29" customWidth="1"/>
    <col min="4" max="4" width="8.6640625" customWidth="1"/>
    <col min="5" max="5" width="22.6640625" customWidth="1"/>
    <col min="6" max="6" width="16.6640625" customWidth="1"/>
    <col min="7" max="10" width="8.6640625" customWidth="1"/>
    <col min="11" max="11" width="52.109375" customWidth="1"/>
    <col min="12" max="12" width="21.5546875" customWidth="1"/>
    <col min="13" max="26" width="8.6640625" customWidth="1"/>
  </cols>
  <sheetData>
    <row r="1" spans="1:12" ht="14.25" customHeight="1">
      <c r="A1" s="1" t="s">
        <v>0</v>
      </c>
      <c r="B1" s="1" t="s">
        <v>2</v>
      </c>
      <c r="C1" s="1" t="s">
        <v>4</v>
      </c>
      <c r="D1" s="1" t="s">
        <v>3</v>
      </c>
      <c r="E1" s="1" t="s">
        <v>6</v>
      </c>
      <c r="F1" s="1" t="s">
        <v>5</v>
      </c>
      <c r="K1" s="4" t="s">
        <v>8</v>
      </c>
      <c r="L1" t="str">
        <f>VLOOKUP(1008,A1:F41,2)</f>
        <v>Henry Lewis</v>
      </c>
    </row>
    <row r="2" spans="1:12" ht="14.25" customHeight="1">
      <c r="A2" s="3">
        <v>1001</v>
      </c>
      <c r="B2" s="3" t="s">
        <v>9</v>
      </c>
      <c r="C2" s="3" t="s">
        <v>10</v>
      </c>
      <c r="D2" s="3">
        <v>50627</v>
      </c>
      <c r="E2" s="5">
        <v>42035</v>
      </c>
      <c r="F2" s="3">
        <v>8</v>
      </c>
      <c r="K2" s="4" t="s">
        <v>11</v>
      </c>
      <c r="L2" t="str">
        <f>VLOOKUP(1015,A1:F41,3)</f>
        <v>Marketing</v>
      </c>
    </row>
    <row r="3" spans="1:12" ht="14.25" customHeight="1">
      <c r="A3" s="3">
        <v>1002</v>
      </c>
      <c r="B3" s="3" t="s">
        <v>12</v>
      </c>
      <c r="C3" s="3" t="s">
        <v>13</v>
      </c>
      <c r="D3" s="3">
        <v>48792</v>
      </c>
      <c r="E3" s="5">
        <v>42063</v>
      </c>
      <c r="F3" s="3">
        <v>5</v>
      </c>
      <c r="K3" s="4" t="s">
        <v>14</v>
      </c>
      <c r="L3">
        <f>VLOOKUP(1023,A1:F41,4)</f>
        <v>51653</v>
      </c>
    </row>
    <row r="4" spans="1:12" ht="14.25" customHeight="1">
      <c r="A4" s="3">
        <v>1003</v>
      </c>
      <c r="B4" s="3" t="s">
        <v>15</v>
      </c>
      <c r="C4" s="3" t="s">
        <v>16</v>
      </c>
      <c r="D4" s="3">
        <v>83323</v>
      </c>
      <c r="E4" s="5">
        <v>42094</v>
      </c>
      <c r="F4" s="3">
        <v>2</v>
      </c>
      <c r="K4" s="4" t="s">
        <v>18</v>
      </c>
      <c r="L4">
        <f>VLOOKUP(1031,A1:F41,5)</f>
        <v>42947</v>
      </c>
    </row>
    <row r="5" spans="1:12" ht="14.25" customHeight="1">
      <c r="A5" s="3">
        <v>1004</v>
      </c>
      <c r="B5" s="3" t="s">
        <v>19</v>
      </c>
      <c r="C5" s="3" t="s">
        <v>13</v>
      </c>
      <c r="D5" s="3">
        <v>83021</v>
      </c>
      <c r="E5" s="5">
        <v>42124</v>
      </c>
      <c r="F5" s="3">
        <v>5</v>
      </c>
      <c r="K5" s="4" t="s">
        <v>20</v>
      </c>
      <c r="L5">
        <f>VLOOKUP(1007,A1:F41,6)</f>
        <v>9</v>
      </c>
    </row>
    <row r="6" spans="1:12" ht="14.25" customHeight="1">
      <c r="A6" s="3">
        <v>1005</v>
      </c>
      <c r="B6" s="3" t="s">
        <v>21</v>
      </c>
      <c r="C6" s="3" t="s">
        <v>13</v>
      </c>
      <c r="D6" s="3">
        <v>48433</v>
      </c>
      <c r="E6" s="5">
        <v>42155</v>
      </c>
      <c r="F6" s="3">
        <v>8</v>
      </c>
      <c r="K6" s="6" t="s">
        <v>23</v>
      </c>
      <c r="L6" t="str">
        <f>VLOOKUP(1038,A1:F41,2)</f>
        <v>Laura Mitchell</v>
      </c>
    </row>
    <row r="7" spans="1:12" ht="14.25" customHeight="1">
      <c r="A7" s="3">
        <v>1006</v>
      </c>
      <c r="B7" s="3" t="s">
        <v>24</v>
      </c>
      <c r="C7" s="3" t="s">
        <v>25</v>
      </c>
      <c r="D7" s="3">
        <v>83001</v>
      </c>
      <c r="E7" s="5">
        <v>42185</v>
      </c>
      <c r="F7" s="3">
        <v>9</v>
      </c>
      <c r="K7" s="6" t="s">
        <v>27</v>
      </c>
      <c r="L7">
        <f>VLOOKUP(1012,A1:F41,4)</f>
        <v>57159</v>
      </c>
    </row>
    <row r="8" spans="1:12" ht="14.25" customHeight="1">
      <c r="A8" s="3">
        <v>1007</v>
      </c>
      <c r="B8" s="3" t="s">
        <v>28</v>
      </c>
      <c r="C8" s="3" t="s">
        <v>16</v>
      </c>
      <c r="D8" s="3">
        <v>51016</v>
      </c>
      <c r="E8" s="5">
        <v>42216</v>
      </c>
      <c r="F8" s="3">
        <v>9</v>
      </c>
      <c r="K8" s="6" t="s">
        <v>29</v>
      </c>
      <c r="L8" t="str">
        <f>VLOOKUP(1029,A1:F41,3)</f>
        <v>Marketing</v>
      </c>
    </row>
    <row r="9" spans="1:12" ht="14.25" customHeight="1">
      <c r="A9" s="3">
        <v>1008</v>
      </c>
      <c r="B9" s="3" t="s">
        <v>30</v>
      </c>
      <c r="C9" s="3" t="s">
        <v>16</v>
      </c>
      <c r="D9" s="3">
        <v>63897</v>
      </c>
      <c r="E9" s="5">
        <v>42247</v>
      </c>
      <c r="F9" s="3">
        <v>1</v>
      </c>
      <c r="K9" s="6" t="s">
        <v>33</v>
      </c>
      <c r="L9">
        <f>VLOOKUP(1036,A1:F41,5)</f>
        <v>43100</v>
      </c>
    </row>
    <row r="10" spans="1:12" ht="14.25" customHeight="1">
      <c r="A10" s="3">
        <v>1009</v>
      </c>
      <c r="B10" s="3" t="s">
        <v>32</v>
      </c>
      <c r="C10" s="3" t="s">
        <v>16</v>
      </c>
      <c r="D10" s="3">
        <v>42612</v>
      </c>
      <c r="E10" s="5">
        <v>42277</v>
      </c>
      <c r="F10" s="3">
        <v>9</v>
      </c>
      <c r="K10" s="6" t="s">
        <v>42</v>
      </c>
      <c r="L10">
        <f>VLOOKUP(1040,A1:F41,6)</f>
        <v>5</v>
      </c>
    </row>
    <row r="11" spans="1:12" ht="14.25" customHeight="1">
      <c r="A11" s="3">
        <v>1010</v>
      </c>
      <c r="B11" s="3" t="s">
        <v>34</v>
      </c>
      <c r="C11" s="3" t="s">
        <v>13</v>
      </c>
      <c r="D11" s="3">
        <v>63483</v>
      </c>
      <c r="E11" s="5">
        <v>42308</v>
      </c>
      <c r="F11" s="3">
        <v>7</v>
      </c>
      <c r="K11" s="6" t="s">
        <v>50</v>
      </c>
    </row>
    <row r="12" spans="1:12" ht="14.25" customHeight="1">
      <c r="A12" s="3">
        <v>1011</v>
      </c>
      <c r="B12" s="3" t="s">
        <v>35</v>
      </c>
      <c r="C12" s="3" t="s">
        <v>10</v>
      </c>
      <c r="D12" s="3">
        <v>88555</v>
      </c>
      <c r="E12" s="5">
        <v>42338</v>
      </c>
      <c r="F12" s="3">
        <v>9</v>
      </c>
      <c r="K12" s="6" t="s">
        <v>58</v>
      </c>
      <c r="L12">
        <f>VLOOKUP("grace johnson",B1:F41,3)</f>
        <v>51016</v>
      </c>
    </row>
    <row r="13" spans="1:12" ht="14.25" customHeight="1">
      <c r="A13" s="3">
        <v>1012</v>
      </c>
      <c r="B13" s="3" t="s">
        <v>36</v>
      </c>
      <c r="C13" s="3" t="s">
        <v>16</v>
      </c>
      <c r="D13" s="3">
        <v>57159</v>
      </c>
      <c r="E13" s="5">
        <v>42369</v>
      </c>
      <c r="F13" s="3">
        <v>8</v>
      </c>
      <c r="K13" s="6" t="s">
        <v>66</v>
      </c>
      <c r="L13" t="str">
        <f>VLOOKUP("olivia wright",B1:F40,2)</f>
        <v>Marketing</v>
      </c>
    </row>
    <row r="14" spans="1:12" ht="14.25" customHeight="1">
      <c r="A14" s="3">
        <v>1013</v>
      </c>
      <c r="B14" s="3" t="s">
        <v>38</v>
      </c>
      <c r="C14" s="3" t="s">
        <v>13</v>
      </c>
      <c r="D14" s="3">
        <v>84974</v>
      </c>
      <c r="E14" s="5">
        <v>42400</v>
      </c>
      <c r="F14" s="3">
        <v>1</v>
      </c>
      <c r="K14" s="6" t="s">
        <v>74</v>
      </c>
    </row>
    <row r="15" spans="1:12" ht="14.25" customHeight="1">
      <c r="A15" s="3">
        <v>1014</v>
      </c>
      <c r="B15" s="3" t="s">
        <v>39</v>
      </c>
      <c r="C15" s="3" t="s">
        <v>25</v>
      </c>
      <c r="D15" s="3">
        <v>80994</v>
      </c>
      <c r="E15" s="5">
        <v>42429</v>
      </c>
      <c r="F15" s="3">
        <v>8</v>
      </c>
      <c r="K15" s="6" t="s">
        <v>76</v>
      </c>
    </row>
    <row r="16" spans="1:12" ht="14.25" customHeight="1">
      <c r="A16" s="3">
        <v>1015</v>
      </c>
      <c r="B16" s="3" t="s">
        <v>40</v>
      </c>
      <c r="C16" s="3" t="s">
        <v>10</v>
      </c>
      <c r="D16" s="3">
        <v>54541</v>
      </c>
      <c r="E16" s="5">
        <v>42460</v>
      </c>
      <c r="F16" s="3">
        <v>8</v>
      </c>
      <c r="K16" s="6" t="s">
        <v>77</v>
      </c>
    </row>
    <row r="17" spans="1:6" ht="14.25" customHeight="1">
      <c r="A17" s="3">
        <v>1016</v>
      </c>
      <c r="B17" s="3" t="s">
        <v>41</v>
      </c>
      <c r="C17" s="3" t="s">
        <v>25</v>
      </c>
      <c r="D17" s="3">
        <v>75920</v>
      </c>
      <c r="E17" s="5">
        <v>42490</v>
      </c>
      <c r="F17" s="3">
        <v>3</v>
      </c>
    </row>
    <row r="18" spans="1:6" ht="14.25" customHeight="1">
      <c r="A18" s="3">
        <v>1017</v>
      </c>
      <c r="B18" s="3" t="s">
        <v>43</v>
      </c>
      <c r="C18" s="3" t="s">
        <v>10</v>
      </c>
      <c r="D18" s="3">
        <v>66531</v>
      </c>
      <c r="E18" s="5">
        <v>42521</v>
      </c>
      <c r="F18" s="3">
        <v>1</v>
      </c>
    </row>
    <row r="19" spans="1:6" ht="14.25" customHeight="1">
      <c r="A19" s="3">
        <v>1018</v>
      </c>
      <c r="B19" s="3" t="s">
        <v>44</v>
      </c>
      <c r="C19" s="3" t="s">
        <v>13</v>
      </c>
      <c r="D19" s="3">
        <v>41585</v>
      </c>
      <c r="E19" s="5">
        <v>42551</v>
      </c>
      <c r="F19" s="3">
        <v>8</v>
      </c>
    </row>
    <row r="20" spans="1:6" ht="14.25" customHeight="1">
      <c r="A20" s="3">
        <v>1019</v>
      </c>
      <c r="B20" s="3" t="s">
        <v>46</v>
      </c>
      <c r="C20" s="3" t="s">
        <v>79</v>
      </c>
      <c r="D20" s="3">
        <v>43943</v>
      </c>
      <c r="E20" s="5">
        <v>42582</v>
      </c>
      <c r="F20" s="3">
        <v>3</v>
      </c>
    </row>
    <row r="21" spans="1:6" ht="14.25" customHeight="1">
      <c r="A21" s="3">
        <v>1020</v>
      </c>
      <c r="B21" s="3" t="s">
        <v>47</v>
      </c>
      <c r="C21" s="3" t="s">
        <v>10</v>
      </c>
      <c r="D21" s="3">
        <v>63939</v>
      </c>
      <c r="E21" s="5">
        <v>42613</v>
      </c>
      <c r="F21" s="3">
        <v>3</v>
      </c>
    </row>
    <row r="22" spans="1:6" ht="14.25" customHeight="1">
      <c r="A22" s="3">
        <v>1021</v>
      </c>
      <c r="B22" s="3" t="s">
        <v>48</v>
      </c>
      <c r="C22" s="3" t="s">
        <v>25</v>
      </c>
      <c r="D22" s="3">
        <v>59457</v>
      </c>
      <c r="E22" s="5">
        <v>42643</v>
      </c>
      <c r="F22" s="3">
        <v>1</v>
      </c>
    </row>
    <row r="23" spans="1:6" ht="14.25" customHeight="1">
      <c r="A23" s="3">
        <v>1022</v>
      </c>
      <c r="B23" s="3" t="s">
        <v>49</v>
      </c>
      <c r="C23" s="3" t="s">
        <v>13</v>
      </c>
      <c r="D23" s="3">
        <v>41021</v>
      </c>
      <c r="E23" s="5">
        <v>42674</v>
      </c>
      <c r="F23" s="3">
        <v>5</v>
      </c>
    </row>
    <row r="24" spans="1:6" ht="14.25" customHeight="1">
      <c r="A24" s="3">
        <v>1023</v>
      </c>
      <c r="B24" s="3" t="s">
        <v>51</v>
      </c>
      <c r="C24" s="3" t="s">
        <v>10</v>
      </c>
      <c r="D24" s="3">
        <v>51653</v>
      </c>
      <c r="E24" s="5">
        <v>42704</v>
      </c>
      <c r="F24" s="3">
        <v>7</v>
      </c>
    </row>
    <row r="25" spans="1:6" ht="14.25" customHeight="1">
      <c r="A25" s="3">
        <v>1024</v>
      </c>
      <c r="B25" s="3" t="s">
        <v>53</v>
      </c>
      <c r="C25" s="3" t="s">
        <v>79</v>
      </c>
      <c r="D25" s="3">
        <v>83573</v>
      </c>
      <c r="E25" s="5">
        <v>42735</v>
      </c>
      <c r="F25" s="3">
        <v>9</v>
      </c>
    </row>
    <row r="26" spans="1:6" ht="14.25" customHeight="1">
      <c r="A26" s="3">
        <v>1025</v>
      </c>
      <c r="B26" s="3" t="s">
        <v>54</v>
      </c>
      <c r="C26" s="3" t="s">
        <v>79</v>
      </c>
      <c r="D26" s="3">
        <v>53417</v>
      </c>
      <c r="E26" s="5">
        <v>42766</v>
      </c>
      <c r="F26" s="3">
        <v>7</v>
      </c>
    </row>
    <row r="27" spans="1:6" ht="14.25" customHeight="1">
      <c r="A27" s="3">
        <v>1026</v>
      </c>
      <c r="B27" s="3" t="s">
        <v>55</v>
      </c>
      <c r="C27" s="3" t="s">
        <v>16</v>
      </c>
      <c r="D27" s="3">
        <v>80757</v>
      </c>
      <c r="E27" s="5">
        <v>42794</v>
      </c>
      <c r="F27" s="3">
        <v>9</v>
      </c>
    </row>
    <row r="28" spans="1:6" ht="14.25" customHeight="1">
      <c r="A28" s="3">
        <v>1027</v>
      </c>
      <c r="B28" s="3" t="s">
        <v>56</v>
      </c>
      <c r="C28" s="3" t="s">
        <v>16</v>
      </c>
      <c r="D28" s="3">
        <v>49692</v>
      </c>
      <c r="E28" s="5">
        <v>42825</v>
      </c>
      <c r="F28" s="3">
        <v>8</v>
      </c>
    </row>
    <row r="29" spans="1:6" ht="14.25" customHeight="1">
      <c r="A29" s="3">
        <v>1028</v>
      </c>
      <c r="B29" s="3" t="s">
        <v>57</v>
      </c>
      <c r="C29" s="3" t="s">
        <v>25</v>
      </c>
      <c r="D29" s="3">
        <v>85758</v>
      </c>
      <c r="E29" s="5">
        <v>42855</v>
      </c>
      <c r="F29" s="3">
        <v>2</v>
      </c>
    </row>
    <row r="30" spans="1:6" ht="14.25" customHeight="1">
      <c r="A30" s="3">
        <v>1029</v>
      </c>
      <c r="B30" s="3" t="s">
        <v>59</v>
      </c>
      <c r="C30" s="3" t="s">
        <v>10</v>
      </c>
      <c r="D30" s="3">
        <v>46873</v>
      </c>
      <c r="E30" s="5">
        <v>42886</v>
      </c>
      <c r="F30" s="3">
        <v>1</v>
      </c>
    </row>
    <row r="31" spans="1:6" ht="14.25" customHeight="1">
      <c r="A31" s="3">
        <v>1030</v>
      </c>
      <c r="B31" s="3" t="s">
        <v>60</v>
      </c>
      <c r="C31" s="3" t="s">
        <v>10</v>
      </c>
      <c r="D31" s="3">
        <v>45675</v>
      </c>
      <c r="E31" s="5">
        <v>42916</v>
      </c>
      <c r="F31" s="3">
        <v>7</v>
      </c>
    </row>
    <row r="32" spans="1:6" ht="14.25" customHeight="1">
      <c r="A32" s="3">
        <v>1031</v>
      </c>
      <c r="B32" s="3" t="s">
        <v>61</v>
      </c>
      <c r="C32" s="3" t="s">
        <v>16</v>
      </c>
      <c r="D32" s="3">
        <v>40161</v>
      </c>
      <c r="E32" s="5">
        <v>42947</v>
      </c>
      <c r="F32" s="3">
        <v>7</v>
      </c>
    </row>
    <row r="33" spans="1:6" ht="14.25" customHeight="1">
      <c r="A33" s="3">
        <v>1032</v>
      </c>
      <c r="B33" s="3" t="s">
        <v>62</v>
      </c>
      <c r="C33" s="3" t="s">
        <v>10</v>
      </c>
      <c r="D33" s="3">
        <v>77065</v>
      </c>
      <c r="E33" s="5">
        <v>42978</v>
      </c>
      <c r="F33" s="3">
        <v>8</v>
      </c>
    </row>
    <row r="34" spans="1:6" ht="14.25" customHeight="1">
      <c r="A34" s="3">
        <v>1033</v>
      </c>
      <c r="B34" s="3" t="s">
        <v>63</v>
      </c>
      <c r="C34" s="3" t="s">
        <v>10</v>
      </c>
      <c r="D34" s="3">
        <v>66557</v>
      </c>
      <c r="E34" s="5">
        <v>43008</v>
      </c>
      <c r="F34" s="3">
        <v>5</v>
      </c>
    </row>
    <row r="35" spans="1:6" ht="14.25" customHeight="1">
      <c r="A35" s="3">
        <v>1034</v>
      </c>
      <c r="B35" s="3" t="s">
        <v>64</v>
      </c>
      <c r="C35" s="3" t="s">
        <v>79</v>
      </c>
      <c r="D35" s="3">
        <v>73763</v>
      </c>
      <c r="E35" s="5">
        <v>43039</v>
      </c>
      <c r="F35" s="3">
        <v>3</v>
      </c>
    </row>
    <row r="36" spans="1:6" ht="14.25" customHeight="1">
      <c r="A36" s="3">
        <v>1035</v>
      </c>
      <c r="B36" s="3" t="s">
        <v>65</v>
      </c>
      <c r="C36" s="3" t="s">
        <v>16</v>
      </c>
      <c r="D36" s="3">
        <v>72606</v>
      </c>
      <c r="E36" s="5">
        <v>43069</v>
      </c>
      <c r="F36" s="3">
        <v>8</v>
      </c>
    </row>
    <row r="37" spans="1:6" ht="14.25" customHeight="1">
      <c r="A37" s="3">
        <v>1036</v>
      </c>
      <c r="B37" s="3" t="s">
        <v>68</v>
      </c>
      <c r="C37" s="3" t="s">
        <v>13</v>
      </c>
      <c r="D37" s="3">
        <v>51534</v>
      </c>
      <c r="E37" s="5">
        <v>43100</v>
      </c>
      <c r="F37" s="3">
        <v>6</v>
      </c>
    </row>
    <row r="38" spans="1:6" ht="14.25" customHeight="1">
      <c r="A38" s="3">
        <v>1037</v>
      </c>
      <c r="B38" s="3" t="s">
        <v>69</v>
      </c>
      <c r="C38" s="3" t="s">
        <v>16</v>
      </c>
      <c r="D38" s="3">
        <v>69127</v>
      </c>
      <c r="E38" s="5">
        <v>43131</v>
      </c>
      <c r="F38" s="3">
        <v>3</v>
      </c>
    </row>
    <row r="39" spans="1:6" ht="14.25" customHeight="1">
      <c r="A39" s="3">
        <v>1038</v>
      </c>
      <c r="B39" s="3" t="s">
        <v>70</v>
      </c>
      <c r="C39" s="3" t="s">
        <v>13</v>
      </c>
      <c r="D39" s="3">
        <v>80397</v>
      </c>
      <c r="E39" s="5">
        <v>43159</v>
      </c>
      <c r="F39" s="3">
        <v>1</v>
      </c>
    </row>
    <row r="40" spans="1:6" ht="14.25" customHeight="1">
      <c r="A40" s="3">
        <v>1039</v>
      </c>
      <c r="B40" s="3" t="s">
        <v>71</v>
      </c>
      <c r="C40" s="3" t="s">
        <v>79</v>
      </c>
      <c r="D40" s="3">
        <v>65851</v>
      </c>
      <c r="E40" s="5">
        <v>43190</v>
      </c>
      <c r="F40" s="3">
        <v>3</v>
      </c>
    </row>
    <row r="41" spans="1:6" ht="14.25" customHeight="1">
      <c r="A41" s="3">
        <v>1040</v>
      </c>
      <c r="B41" s="3" t="s">
        <v>72</v>
      </c>
      <c r="C41" s="3" t="s">
        <v>25</v>
      </c>
      <c r="D41" s="3">
        <v>41016</v>
      </c>
      <c r="E41" s="5">
        <v>43220</v>
      </c>
      <c r="F41" s="3">
        <v>5</v>
      </c>
    </row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13" ht="14.25" customHeight="1">
      <c r="A1" s="2" t="s">
        <v>1</v>
      </c>
      <c r="B1" s="2" t="s">
        <v>3</v>
      </c>
      <c r="C1" s="2" t="s">
        <v>5</v>
      </c>
    </row>
    <row r="2" spans="1:13" ht="14.25" customHeight="1">
      <c r="A2" s="3">
        <v>1030</v>
      </c>
      <c r="B2" s="2">
        <f>VLOOKUP(A2,V_Data!$A$1:$F$41,4,0)</f>
        <v>45675</v>
      </c>
      <c r="C2" s="2">
        <f>VLOOKUP($A2,V_Data!$A$1:$F$41,6,0)</f>
        <v>7</v>
      </c>
      <c r="M2" s="2" t="s">
        <v>17</v>
      </c>
    </row>
    <row r="3" spans="1:13" ht="14.25" customHeight="1">
      <c r="A3" s="3">
        <v>1000</v>
      </c>
    </row>
    <row r="4" spans="1:13" ht="14.25" customHeight="1">
      <c r="A4" s="3">
        <v>1015</v>
      </c>
    </row>
    <row r="5" spans="1:13" ht="14.25" customHeight="1">
      <c r="A5" s="2">
        <v>1040</v>
      </c>
    </row>
    <row r="6" spans="1:13" ht="14.25" customHeight="1">
      <c r="A6" s="2">
        <v>1006</v>
      </c>
    </row>
    <row r="7" spans="1:13" ht="14.25" customHeight="1">
      <c r="A7" s="2">
        <v>1028</v>
      </c>
    </row>
    <row r="8" spans="1:13" ht="14.25" customHeight="1">
      <c r="A8" s="2">
        <v>1031</v>
      </c>
    </row>
    <row r="9" spans="1:13" ht="14.25" customHeight="1">
      <c r="A9" s="2">
        <v>1007</v>
      </c>
    </row>
    <row r="10" spans="1:13" ht="14.25" customHeight="1">
      <c r="A10" s="2">
        <v>1019</v>
      </c>
      <c r="E10" s="2" t="s">
        <v>26</v>
      </c>
    </row>
    <row r="11" spans="1:13" ht="14.25" customHeight="1">
      <c r="A11" s="2">
        <v>1022</v>
      </c>
    </row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00"/>
  <sheetViews>
    <sheetView workbookViewId="0">
      <selection activeCell="J27" sqref="J27"/>
    </sheetView>
  </sheetViews>
  <sheetFormatPr defaultColWidth="14.44140625" defaultRowHeight="15" customHeight="1"/>
  <cols>
    <col min="1" max="1" width="19.88671875" customWidth="1"/>
    <col min="2" max="41" width="8.6640625" customWidth="1"/>
  </cols>
  <sheetData>
    <row r="1" spans="1:41" ht="14.25" customHeight="1">
      <c r="A1" s="1" t="s">
        <v>0</v>
      </c>
      <c r="B1" s="3">
        <v>1001</v>
      </c>
      <c r="C1" s="3">
        <v>1002</v>
      </c>
      <c r="D1" s="3">
        <v>1003</v>
      </c>
      <c r="E1" s="3">
        <v>1004</v>
      </c>
      <c r="F1" s="3">
        <v>1005</v>
      </c>
      <c r="G1" s="3">
        <v>1006</v>
      </c>
      <c r="H1" s="3">
        <v>1007</v>
      </c>
      <c r="I1" s="3">
        <v>1008</v>
      </c>
      <c r="J1" s="3">
        <v>1009</v>
      </c>
      <c r="K1" s="3">
        <v>1010</v>
      </c>
      <c r="L1" s="3">
        <v>1011</v>
      </c>
      <c r="M1" s="3">
        <v>1012</v>
      </c>
      <c r="N1" s="3">
        <v>1013</v>
      </c>
      <c r="O1" s="3">
        <v>1014</v>
      </c>
      <c r="P1" s="3">
        <v>1015</v>
      </c>
      <c r="Q1" s="3">
        <v>1016</v>
      </c>
      <c r="R1" s="3">
        <v>1017</v>
      </c>
      <c r="S1" s="3">
        <v>1018</v>
      </c>
      <c r="T1" s="3">
        <v>1019</v>
      </c>
      <c r="U1" s="3">
        <v>1020</v>
      </c>
      <c r="V1" s="3">
        <v>1021</v>
      </c>
      <c r="W1" s="3">
        <v>1022</v>
      </c>
      <c r="X1" s="3">
        <v>1023</v>
      </c>
      <c r="Y1" s="3">
        <v>1024</v>
      </c>
      <c r="Z1" s="3">
        <v>1025</v>
      </c>
      <c r="AA1" s="3">
        <v>1026</v>
      </c>
      <c r="AB1" s="3">
        <v>1027</v>
      </c>
      <c r="AC1" s="3">
        <v>1028</v>
      </c>
      <c r="AD1" s="3">
        <v>1029</v>
      </c>
      <c r="AE1" s="3">
        <v>1030</v>
      </c>
      <c r="AF1" s="3">
        <v>1031</v>
      </c>
      <c r="AG1" s="3">
        <v>1032</v>
      </c>
      <c r="AH1" s="3">
        <v>1033</v>
      </c>
      <c r="AI1" s="3">
        <v>1034</v>
      </c>
      <c r="AJ1" s="3">
        <v>1035</v>
      </c>
      <c r="AK1" s="3">
        <v>1036</v>
      </c>
      <c r="AL1" s="3">
        <v>1037</v>
      </c>
      <c r="AM1" s="3">
        <v>1038</v>
      </c>
      <c r="AN1" s="3">
        <v>1039</v>
      </c>
      <c r="AO1" s="3">
        <v>1040</v>
      </c>
    </row>
    <row r="2" spans="1:41" ht="14.25" customHeight="1">
      <c r="A2" s="7" t="s">
        <v>2</v>
      </c>
      <c r="B2" s="3" t="s">
        <v>9</v>
      </c>
      <c r="C2" s="3" t="s">
        <v>12</v>
      </c>
      <c r="D2" s="3" t="s">
        <v>15</v>
      </c>
      <c r="E2" s="3" t="s">
        <v>19</v>
      </c>
      <c r="F2" s="3" t="s">
        <v>21</v>
      </c>
      <c r="G2" s="3" t="s">
        <v>24</v>
      </c>
      <c r="H2" s="3" t="s">
        <v>28</v>
      </c>
      <c r="I2" s="3" t="s">
        <v>30</v>
      </c>
      <c r="J2" s="3" t="s">
        <v>32</v>
      </c>
      <c r="K2" s="3" t="s">
        <v>34</v>
      </c>
      <c r="L2" s="3" t="s">
        <v>35</v>
      </c>
      <c r="M2" s="3" t="s">
        <v>36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43</v>
      </c>
      <c r="S2" s="3" t="s">
        <v>44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51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59</v>
      </c>
      <c r="AE2" s="3" t="s">
        <v>60</v>
      </c>
      <c r="AF2" s="3" t="s">
        <v>61</v>
      </c>
      <c r="AG2" s="3" t="s">
        <v>62</v>
      </c>
      <c r="AH2" s="3" t="s">
        <v>63</v>
      </c>
      <c r="AI2" s="3" t="s">
        <v>64</v>
      </c>
      <c r="AJ2" s="3" t="s">
        <v>65</v>
      </c>
      <c r="AK2" s="3" t="s">
        <v>68</v>
      </c>
      <c r="AL2" s="3" t="s">
        <v>69</v>
      </c>
      <c r="AM2" s="3" t="s">
        <v>70</v>
      </c>
      <c r="AN2" s="3" t="s">
        <v>71</v>
      </c>
      <c r="AO2" s="3" t="s">
        <v>72</v>
      </c>
    </row>
    <row r="3" spans="1:41" ht="14.25" customHeight="1">
      <c r="A3" s="7" t="s">
        <v>4</v>
      </c>
      <c r="B3" s="3" t="s">
        <v>10</v>
      </c>
      <c r="C3" s="3" t="s">
        <v>13</v>
      </c>
      <c r="D3" s="3" t="s">
        <v>16</v>
      </c>
      <c r="E3" s="3" t="s">
        <v>13</v>
      </c>
      <c r="F3" s="3" t="s">
        <v>13</v>
      </c>
      <c r="G3" s="3" t="s">
        <v>25</v>
      </c>
      <c r="H3" s="3" t="s">
        <v>16</v>
      </c>
      <c r="I3" s="3" t="s">
        <v>16</v>
      </c>
      <c r="J3" s="3" t="s">
        <v>16</v>
      </c>
      <c r="K3" s="3" t="s">
        <v>13</v>
      </c>
      <c r="L3" s="3" t="s">
        <v>10</v>
      </c>
      <c r="M3" s="3" t="s">
        <v>16</v>
      </c>
      <c r="N3" s="3" t="s">
        <v>13</v>
      </c>
      <c r="O3" s="3" t="s">
        <v>25</v>
      </c>
      <c r="P3" s="3" t="s">
        <v>10</v>
      </c>
      <c r="Q3" s="3" t="s">
        <v>25</v>
      </c>
      <c r="R3" s="3" t="s">
        <v>10</v>
      </c>
      <c r="S3" s="3" t="s">
        <v>13</v>
      </c>
      <c r="T3" s="3" t="s">
        <v>79</v>
      </c>
      <c r="U3" s="3" t="s">
        <v>10</v>
      </c>
      <c r="V3" s="3" t="s">
        <v>25</v>
      </c>
      <c r="W3" s="3" t="s">
        <v>13</v>
      </c>
      <c r="X3" s="3" t="s">
        <v>10</v>
      </c>
      <c r="Y3" s="3" t="s">
        <v>79</v>
      </c>
      <c r="Z3" s="3" t="s">
        <v>79</v>
      </c>
      <c r="AA3" s="3" t="s">
        <v>16</v>
      </c>
      <c r="AB3" s="3" t="s">
        <v>16</v>
      </c>
      <c r="AC3" s="3" t="s">
        <v>25</v>
      </c>
      <c r="AD3" s="3" t="s">
        <v>10</v>
      </c>
      <c r="AE3" s="3" t="s">
        <v>10</v>
      </c>
      <c r="AF3" s="3" t="s">
        <v>16</v>
      </c>
      <c r="AG3" s="3" t="s">
        <v>10</v>
      </c>
      <c r="AH3" s="3" t="s">
        <v>10</v>
      </c>
      <c r="AI3" s="3" t="s">
        <v>79</v>
      </c>
      <c r="AJ3" s="3" t="s">
        <v>16</v>
      </c>
      <c r="AK3" s="3" t="s">
        <v>13</v>
      </c>
      <c r="AL3" s="3" t="s">
        <v>16</v>
      </c>
      <c r="AM3" s="3" t="s">
        <v>13</v>
      </c>
      <c r="AN3" s="3" t="s">
        <v>79</v>
      </c>
      <c r="AO3" s="3" t="s">
        <v>25</v>
      </c>
    </row>
    <row r="4" spans="1:41" ht="14.25" customHeight="1">
      <c r="A4" s="7" t="s">
        <v>3</v>
      </c>
      <c r="B4" s="3">
        <v>50627</v>
      </c>
      <c r="C4" s="3">
        <v>48792</v>
      </c>
      <c r="D4" s="3">
        <v>83323</v>
      </c>
      <c r="E4" s="3">
        <v>83021</v>
      </c>
      <c r="F4" s="3">
        <v>48433</v>
      </c>
      <c r="G4" s="3">
        <v>83001</v>
      </c>
      <c r="H4" s="3">
        <v>51016</v>
      </c>
      <c r="I4" s="3">
        <v>63897</v>
      </c>
      <c r="J4" s="3">
        <v>42612</v>
      </c>
      <c r="K4" s="3">
        <v>63483</v>
      </c>
      <c r="L4" s="3">
        <v>88555</v>
      </c>
      <c r="M4" s="3">
        <v>57159</v>
      </c>
      <c r="N4" s="3">
        <v>84974</v>
      </c>
      <c r="O4" s="3">
        <v>80994</v>
      </c>
      <c r="P4" s="3">
        <v>54541</v>
      </c>
      <c r="Q4" s="3">
        <v>75920</v>
      </c>
      <c r="R4" s="3">
        <v>66531</v>
      </c>
      <c r="S4" s="3">
        <v>41585</v>
      </c>
      <c r="T4" s="3">
        <v>43943</v>
      </c>
      <c r="U4" s="3">
        <v>63939</v>
      </c>
      <c r="V4" s="3">
        <v>59457</v>
      </c>
      <c r="W4" s="3">
        <v>41021</v>
      </c>
      <c r="X4" s="3">
        <v>51653</v>
      </c>
      <c r="Y4" s="3">
        <v>83573</v>
      </c>
      <c r="Z4" s="3">
        <v>53417</v>
      </c>
      <c r="AA4" s="3">
        <v>80757</v>
      </c>
      <c r="AB4" s="3">
        <v>49692</v>
      </c>
      <c r="AC4" s="3">
        <v>85758</v>
      </c>
      <c r="AD4" s="3">
        <v>46873</v>
      </c>
      <c r="AE4" s="3">
        <v>45675</v>
      </c>
      <c r="AF4" s="3">
        <v>40161</v>
      </c>
      <c r="AG4" s="3">
        <v>77065</v>
      </c>
      <c r="AH4" s="3">
        <v>66557</v>
      </c>
      <c r="AI4" s="3">
        <v>73763</v>
      </c>
      <c r="AJ4" s="3">
        <v>72606</v>
      </c>
      <c r="AK4" s="3">
        <v>51534</v>
      </c>
      <c r="AL4" s="3">
        <v>69127</v>
      </c>
      <c r="AM4" s="3">
        <v>80397</v>
      </c>
      <c r="AN4" s="3">
        <v>65851</v>
      </c>
      <c r="AO4" s="3">
        <v>41016</v>
      </c>
    </row>
    <row r="5" spans="1:41" ht="14.25" customHeight="1">
      <c r="A5" s="7" t="s">
        <v>6</v>
      </c>
      <c r="B5" s="3">
        <v>42035</v>
      </c>
      <c r="C5" s="3">
        <v>42063</v>
      </c>
      <c r="D5" s="3">
        <v>42094</v>
      </c>
      <c r="E5" s="3">
        <v>42124</v>
      </c>
      <c r="F5" s="3">
        <v>42155</v>
      </c>
      <c r="G5" s="3">
        <v>42185</v>
      </c>
      <c r="H5" s="3">
        <v>42216</v>
      </c>
      <c r="I5" s="3">
        <v>42247</v>
      </c>
      <c r="J5" s="3">
        <v>42277</v>
      </c>
      <c r="K5" s="3">
        <v>42308</v>
      </c>
      <c r="L5" s="3">
        <v>42338</v>
      </c>
      <c r="M5" s="3">
        <v>42369</v>
      </c>
      <c r="N5" s="3">
        <v>42400</v>
      </c>
      <c r="O5" s="3">
        <v>42429</v>
      </c>
      <c r="P5" s="3">
        <v>42460</v>
      </c>
      <c r="Q5" s="3">
        <v>42490</v>
      </c>
      <c r="R5" s="3">
        <v>42521</v>
      </c>
      <c r="S5" s="3">
        <v>42551</v>
      </c>
      <c r="T5" s="3">
        <v>42582</v>
      </c>
      <c r="U5" s="3">
        <v>42613</v>
      </c>
      <c r="V5" s="3">
        <v>42643</v>
      </c>
      <c r="W5" s="3">
        <v>42674</v>
      </c>
      <c r="X5" s="3">
        <v>42704</v>
      </c>
      <c r="Y5" s="3">
        <v>42735</v>
      </c>
      <c r="Z5" s="3">
        <v>42766</v>
      </c>
      <c r="AA5" s="3">
        <v>42794</v>
      </c>
      <c r="AB5" s="3">
        <v>42825</v>
      </c>
      <c r="AC5" s="3">
        <v>42855</v>
      </c>
      <c r="AD5" s="3">
        <v>42886</v>
      </c>
      <c r="AE5" s="3">
        <v>42916</v>
      </c>
      <c r="AF5" s="3">
        <v>42947</v>
      </c>
      <c r="AG5" s="3">
        <v>42978</v>
      </c>
      <c r="AH5" s="3">
        <v>43008</v>
      </c>
      <c r="AI5" s="3">
        <v>43039</v>
      </c>
      <c r="AJ5" s="3">
        <v>43069</v>
      </c>
      <c r="AK5" s="3">
        <v>43100</v>
      </c>
      <c r="AL5" s="3">
        <v>43131</v>
      </c>
      <c r="AM5" s="3">
        <v>43159</v>
      </c>
      <c r="AN5" s="3">
        <v>43190</v>
      </c>
      <c r="AO5" s="3">
        <v>43220</v>
      </c>
    </row>
    <row r="6" spans="1:41" ht="14.25" customHeight="1">
      <c r="A6" s="7" t="s">
        <v>5</v>
      </c>
      <c r="B6" s="3">
        <v>8</v>
      </c>
      <c r="C6" s="3">
        <v>5</v>
      </c>
      <c r="D6" s="3">
        <v>2</v>
      </c>
      <c r="E6" s="3">
        <v>5</v>
      </c>
      <c r="F6" s="3">
        <v>8</v>
      </c>
      <c r="G6" s="3">
        <v>9</v>
      </c>
      <c r="H6" s="3">
        <v>9</v>
      </c>
      <c r="I6" s="3">
        <v>1</v>
      </c>
      <c r="J6" s="3">
        <v>9</v>
      </c>
      <c r="K6" s="3">
        <v>7</v>
      </c>
      <c r="L6" s="3">
        <v>9</v>
      </c>
      <c r="M6" s="3">
        <v>8</v>
      </c>
      <c r="N6" s="3">
        <v>1</v>
      </c>
      <c r="O6" s="3">
        <v>8</v>
      </c>
      <c r="P6" s="3">
        <v>8</v>
      </c>
      <c r="Q6" s="3">
        <v>3</v>
      </c>
      <c r="R6" s="3">
        <v>1</v>
      </c>
      <c r="S6" s="3">
        <v>8</v>
      </c>
      <c r="T6" s="3">
        <v>3</v>
      </c>
      <c r="U6" s="3">
        <v>3</v>
      </c>
      <c r="V6" s="3">
        <v>1</v>
      </c>
      <c r="W6" s="3">
        <v>5</v>
      </c>
      <c r="X6" s="3">
        <v>7</v>
      </c>
      <c r="Y6" s="3">
        <v>9</v>
      </c>
      <c r="Z6" s="3">
        <v>7</v>
      </c>
      <c r="AA6" s="3">
        <v>9</v>
      </c>
      <c r="AB6" s="3">
        <v>8</v>
      </c>
      <c r="AC6" s="3">
        <v>2</v>
      </c>
      <c r="AD6" s="3">
        <v>1</v>
      </c>
      <c r="AE6" s="3">
        <v>7</v>
      </c>
      <c r="AF6" s="3">
        <v>7</v>
      </c>
      <c r="AG6" s="3">
        <v>8</v>
      </c>
      <c r="AH6" s="3">
        <v>5</v>
      </c>
      <c r="AI6" s="3">
        <v>3</v>
      </c>
      <c r="AJ6" s="3">
        <v>8</v>
      </c>
      <c r="AK6" s="3">
        <v>6</v>
      </c>
      <c r="AL6" s="3">
        <v>3</v>
      </c>
      <c r="AM6" s="3">
        <v>1</v>
      </c>
      <c r="AN6" s="3">
        <v>3</v>
      </c>
      <c r="AO6" s="3">
        <v>5</v>
      </c>
    </row>
    <row r="7" spans="1:41" ht="14.25" customHeight="1">
      <c r="A7" s="9"/>
    </row>
    <row r="8" spans="1:41" ht="14.25" customHeight="1">
      <c r="A8" s="9"/>
    </row>
    <row r="9" spans="1:41" ht="14.25" customHeight="1">
      <c r="A9" s="9"/>
    </row>
    <row r="10" spans="1:41" ht="14.25" customHeight="1">
      <c r="A10" s="9"/>
      <c r="J10" t="str">
        <f>HLOOKUP(1004,A1:AO6,2)</f>
        <v>Daniel Martinez</v>
      </c>
    </row>
    <row r="11" spans="1:41" ht="14.25" customHeight="1">
      <c r="A11" s="9"/>
      <c r="J11" t="str">
        <f>HLOOKUP(1028,A1:AO6,3)</f>
        <v>IT</v>
      </c>
    </row>
    <row r="12" spans="1:41" ht="14.25" customHeight="1">
      <c r="A12" s="9"/>
      <c r="J12">
        <f>HLOOKUP(1031,A1:AO6,5)</f>
        <v>42947</v>
      </c>
    </row>
    <row r="13" spans="1:41" ht="14.25" customHeight="1">
      <c r="A13" s="9"/>
      <c r="J13">
        <f>HLOOKUP(1007,A1:AO6,6)</f>
        <v>9</v>
      </c>
    </row>
    <row r="14" spans="1:41" ht="14.25" customHeight="1">
      <c r="A14" s="9"/>
      <c r="J14" t="str">
        <f>HLOOKUP(1024,A1:AO6,3)</f>
        <v>HR</v>
      </c>
    </row>
    <row r="15" spans="1:41" ht="14.25" customHeight="1">
      <c r="A15" s="9"/>
      <c r="J15">
        <f>HLOOKUP(1010,A1:AO6,4)</f>
        <v>63483</v>
      </c>
    </row>
    <row r="16" spans="1:41" ht="14.25" customHeight="1">
      <c r="A16" s="9"/>
      <c r="J16" t="str">
        <f>HLOOKUP(1036,A1:AO6,2)</f>
        <v>Julia Butler</v>
      </c>
    </row>
    <row r="17" spans="1:1" ht="14.25" customHeight="1">
      <c r="A17" s="9"/>
    </row>
    <row r="18" spans="1:1" ht="14.25" customHeight="1">
      <c r="A18" s="9"/>
    </row>
    <row r="19" spans="1:1" ht="14.25" customHeight="1">
      <c r="A19" s="9"/>
    </row>
    <row r="20" spans="1:1" ht="14.25" customHeight="1">
      <c r="A20" s="9"/>
    </row>
    <row r="21" spans="1:1" ht="14.25" customHeight="1">
      <c r="A21" s="9"/>
    </row>
    <row r="22" spans="1:1" ht="14.25" customHeight="1">
      <c r="A22" s="9"/>
    </row>
    <row r="23" spans="1:1" ht="14.25" customHeight="1">
      <c r="A23" s="9"/>
    </row>
    <row r="24" spans="1:1" ht="14.25" customHeight="1">
      <c r="A24" s="9"/>
    </row>
    <row r="25" spans="1:1" ht="14.25" customHeight="1">
      <c r="A25" s="9"/>
    </row>
    <row r="26" spans="1:1" ht="14.25" customHeight="1">
      <c r="A26" s="9"/>
    </row>
    <row r="27" spans="1:1" ht="14.25" customHeight="1">
      <c r="A27" s="9"/>
    </row>
    <row r="28" spans="1:1" ht="14.25" customHeight="1">
      <c r="A28" s="9"/>
    </row>
    <row r="29" spans="1:1" ht="14.25" customHeight="1">
      <c r="A29" s="9"/>
    </row>
    <row r="30" spans="1:1" ht="14.25" customHeight="1">
      <c r="A30" s="9"/>
    </row>
    <row r="31" spans="1:1" ht="14.25" customHeight="1">
      <c r="A31" s="9"/>
    </row>
    <row r="32" spans="1:1" ht="14.25" customHeight="1">
      <c r="A32" s="9"/>
    </row>
    <row r="33" spans="1:1" ht="14.25" customHeight="1">
      <c r="A33" s="9"/>
    </row>
    <row r="34" spans="1:1" ht="14.25" customHeight="1">
      <c r="A34" s="9"/>
    </row>
    <row r="35" spans="1:1" ht="14.25" customHeight="1">
      <c r="A35" s="9"/>
    </row>
    <row r="36" spans="1:1" ht="14.25" customHeight="1">
      <c r="A36" s="9"/>
    </row>
    <row r="37" spans="1:1" ht="14.25" customHeight="1">
      <c r="A37" s="9"/>
    </row>
    <row r="38" spans="1:1" ht="14.25" customHeight="1">
      <c r="A38" s="9"/>
    </row>
    <row r="39" spans="1:1" ht="14.25" customHeight="1">
      <c r="A39" s="9"/>
    </row>
    <row r="40" spans="1:1" ht="14.25" customHeight="1">
      <c r="A40" s="9"/>
    </row>
    <row r="41" spans="1:1" ht="14.25" customHeight="1">
      <c r="A41" s="9"/>
    </row>
    <row r="42" spans="1:1" ht="14.25" customHeight="1">
      <c r="A42" s="9"/>
    </row>
    <row r="43" spans="1:1" ht="14.25" customHeight="1">
      <c r="A43" s="9"/>
    </row>
    <row r="44" spans="1:1" ht="14.25" customHeight="1">
      <c r="A44" s="9"/>
    </row>
    <row r="45" spans="1:1" ht="14.25" customHeight="1">
      <c r="A45" s="9"/>
    </row>
    <row r="46" spans="1:1" ht="14.25" customHeight="1">
      <c r="A46" s="9"/>
    </row>
    <row r="47" spans="1:1" ht="14.25" customHeight="1">
      <c r="A47" s="9"/>
    </row>
    <row r="48" spans="1:1" ht="14.25" customHeight="1">
      <c r="A48" s="9"/>
    </row>
    <row r="49" spans="1:1" ht="14.25" customHeight="1">
      <c r="A49" s="9"/>
    </row>
    <row r="50" spans="1:1" ht="14.25" customHeight="1">
      <c r="A50" s="9"/>
    </row>
    <row r="51" spans="1:1" ht="14.25" customHeight="1">
      <c r="A51" s="9"/>
    </row>
    <row r="52" spans="1:1" ht="14.25" customHeight="1">
      <c r="A52" s="9"/>
    </row>
    <row r="53" spans="1:1" ht="14.25" customHeight="1">
      <c r="A53" s="9"/>
    </row>
    <row r="54" spans="1:1" ht="14.25" customHeight="1">
      <c r="A54" s="9"/>
    </row>
    <row r="55" spans="1:1" ht="14.25" customHeight="1">
      <c r="A55" s="9"/>
    </row>
    <row r="56" spans="1:1" ht="14.25" customHeight="1">
      <c r="A56" s="9"/>
    </row>
    <row r="57" spans="1:1" ht="14.25" customHeight="1">
      <c r="A57" s="9"/>
    </row>
    <row r="58" spans="1:1" ht="14.25" customHeight="1">
      <c r="A58" s="9"/>
    </row>
    <row r="59" spans="1:1" ht="14.25" customHeight="1">
      <c r="A59" s="9"/>
    </row>
    <row r="60" spans="1:1" ht="14.25" customHeight="1">
      <c r="A60" s="9"/>
    </row>
    <row r="61" spans="1:1" ht="14.25" customHeight="1">
      <c r="A61" s="9"/>
    </row>
    <row r="62" spans="1:1" ht="14.25" customHeight="1">
      <c r="A62" s="9"/>
    </row>
    <row r="63" spans="1:1" ht="14.25" customHeight="1">
      <c r="A63" s="9"/>
    </row>
    <row r="64" spans="1:1" ht="14.25" customHeight="1">
      <c r="A64" s="9"/>
    </row>
    <row r="65" spans="1:1" ht="14.25" customHeight="1">
      <c r="A65" s="9"/>
    </row>
    <row r="66" spans="1:1" ht="14.25" customHeight="1">
      <c r="A66" s="9"/>
    </row>
    <row r="67" spans="1:1" ht="14.25" customHeight="1">
      <c r="A67" s="9"/>
    </row>
    <row r="68" spans="1:1" ht="14.25" customHeight="1">
      <c r="A68" s="9"/>
    </row>
    <row r="69" spans="1:1" ht="14.25" customHeight="1">
      <c r="A69" s="9"/>
    </row>
    <row r="70" spans="1:1" ht="14.25" customHeight="1">
      <c r="A70" s="9"/>
    </row>
    <row r="71" spans="1:1" ht="14.25" customHeight="1">
      <c r="A71" s="9"/>
    </row>
    <row r="72" spans="1:1" ht="14.25" customHeight="1">
      <c r="A72" s="9"/>
    </row>
    <row r="73" spans="1:1" ht="14.25" customHeight="1">
      <c r="A73" s="9"/>
    </row>
    <row r="74" spans="1:1" ht="14.25" customHeight="1">
      <c r="A74" s="9"/>
    </row>
    <row r="75" spans="1:1" ht="14.25" customHeight="1">
      <c r="A75" s="9"/>
    </row>
    <row r="76" spans="1:1" ht="14.25" customHeight="1">
      <c r="A76" s="9"/>
    </row>
    <row r="77" spans="1:1" ht="14.25" customHeight="1">
      <c r="A77" s="9"/>
    </row>
    <row r="78" spans="1:1" ht="14.25" customHeight="1">
      <c r="A78" s="9"/>
    </row>
    <row r="79" spans="1:1" ht="14.25" customHeight="1">
      <c r="A79" s="9"/>
    </row>
    <row r="80" spans="1:1" ht="14.25" customHeight="1">
      <c r="A80" s="9"/>
    </row>
    <row r="81" spans="1:1" ht="14.25" customHeight="1">
      <c r="A81" s="9"/>
    </row>
    <row r="82" spans="1:1" ht="14.25" customHeight="1">
      <c r="A82" s="9"/>
    </row>
    <row r="83" spans="1:1" ht="14.25" customHeight="1">
      <c r="A83" s="9"/>
    </row>
    <row r="84" spans="1:1" ht="14.25" customHeight="1">
      <c r="A84" s="9"/>
    </row>
    <row r="85" spans="1:1" ht="14.25" customHeight="1">
      <c r="A85" s="9"/>
    </row>
    <row r="86" spans="1:1" ht="14.25" customHeight="1">
      <c r="A86" s="9"/>
    </row>
    <row r="87" spans="1:1" ht="14.25" customHeight="1">
      <c r="A87" s="9"/>
    </row>
    <row r="88" spans="1:1" ht="14.25" customHeight="1">
      <c r="A88" s="9"/>
    </row>
    <row r="89" spans="1:1" ht="14.25" customHeight="1">
      <c r="A89" s="9"/>
    </row>
    <row r="90" spans="1:1" ht="14.25" customHeight="1">
      <c r="A90" s="9"/>
    </row>
    <row r="91" spans="1:1" ht="14.25" customHeight="1">
      <c r="A91" s="9"/>
    </row>
    <row r="92" spans="1:1" ht="14.25" customHeight="1">
      <c r="A92" s="9"/>
    </row>
    <row r="93" spans="1:1" ht="14.25" customHeight="1">
      <c r="A93" s="9"/>
    </row>
    <row r="94" spans="1:1" ht="14.25" customHeight="1">
      <c r="A94" s="9"/>
    </row>
    <row r="95" spans="1:1" ht="14.25" customHeight="1">
      <c r="A95" s="9"/>
    </row>
    <row r="96" spans="1:1" ht="14.25" customHeight="1">
      <c r="A96" s="9"/>
    </row>
    <row r="97" spans="1:1" ht="14.25" customHeight="1">
      <c r="A97" s="9"/>
    </row>
    <row r="98" spans="1:1" ht="14.25" customHeight="1">
      <c r="A98" s="9"/>
    </row>
    <row r="99" spans="1:1" ht="14.25" customHeight="1">
      <c r="A99" s="9"/>
    </row>
    <row r="100" spans="1:1" ht="14.25" customHeight="1">
      <c r="A100" s="9"/>
    </row>
    <row r="101" spans="1:1" ht="14.25" customHeight="1">
      <c r="A101" s="9"/>
    </row>
    <row r="102" spans="1:1" ht="14.25" customHeight="1">
      <c r="A102" s="9"/>
    </row>
    <row r="103" spans="1:1" ht="14.25" customHeight="1">
      <c r="A103" s="9"/>
    </row>
    <row r="104" spans="1:1" ht="14.25" customHeight="1">
      <c r="A104" s="9"/>
    </row>
    <row r="105" spans="1:1" ht="14.25" customHeight="1">
      <c r="A105" s="9"/>
    </row>
    <row r="106" spans="1:1" ht="14.25" customHeight="1">
      <c r="A106" s="9"/>
    </row>
    <row r="107" spans="1:1" ht="14.25" customHeight="1">
      <c r="A107" s="9"/>
    </row>
    <row r="108" spans="1:1" ht="14.25" customHeight="1">
      <c r="A108" s="9"/>
    </row>
    <row r="109" spans="1:1" ht="14.25" customHeight="1">
      <c r="A109" s="9"/>
    </row>
    <row r="110" spans="1:1" ht="14.25" customHeight="1">
      <c r="A110" s="9"/>
    </row>
    <row r="111" spans="1:1" ht="14.25" customHeight="1">
      <c r="A111" s="9"/>
    </row>
    <row r="112" spans="1:1" ht="14.25" customHeight="1">
      <c r="A112" s="9"/>
    </row>
    <row r="113" spans="1:1" ht="14.25" customHeight="1">
      <c r="A113" s="9"/>
    </row>
    <row r="114" spans="1:1" ht="14.25" customHeight="1">
      <c r="A114" s="9"/>
    </row>
    <row r="115" spans="1:1" ht="14.25" customHeight="1">
      <c r="A115" s="9"/>
    </row>
    <row r="116" spans="1:1" ht="14.25" customHeight="1">
      <c r="A116" s="9"/>
    </row>
    <row r="117" spans="1:1" ht="14.25" customHeight="1">
      <c r="A117" s="9"/>
    </row>
    <row r="118" spans="1:1" ht="14.25" customHeight="1">
      <c r="A118" s="9"/>
    </row>
    <row r="119" spans="1:1" ht="14.25" customHeight="1">
      <c r="A119" s="9"/>
    </row>
    <row r="120" spans="1:1" ht="14.25" customHeight="1">
      <c r="A120" s="9"/>
    </row>
    <row r="121" spans="1:1" ht="14.25" customHeight="1">
      <c r="A121" s="9"/>
    </row>
    <row r="122" spans="1:1" ht="14.25" customHeight="1">
      <c r="A122" s="9"/>
    </row>
    <row r="123" spans="1:1" ht="14.25" customHeight="1">
      <c r="A123" s="9"/>
    </row>
    <row r="124" spans="1:1" ht="14.25" customHeight="1">
      <c r="A124" s="9"/>
    </row>
    <row r="125" spans="1:1" ht="14.25" customHeight="1">
      <c r="A125" s="9"/>
    </row>
    <row r="126" spans="1:1" ht="14.25" customHeight="1">
      <c r="A126" s="9"/>
    </row>
    <row r="127" spans="1:1" ht="14.25" customHeight="1">
      <c r="A127" s="9"/>
    </row>
    <row r="128" spans="1:1" ht="14.25" customHeight="1">
      <c r="A128" s="9"/>
    </row>
    <row r="129" spans="1:1" ht="14.25" customHeight="1">
      <c r="A129" s="9"/>
    </row>
    <row r="130" spans="1:1" ht="14.25" customHeight="1">
      <c r="A130" s="9"/>
    </row>
    <row r="131" spans="1:1" ht="14.25" customHeight="1">
      <c r="A131" s="9"/>
    </row>
    <row r="132" spans="1:1" ht="14.25" customHeight="1">
      <c r="A132" s="9"/>
    </row>
    <row r="133" spans="1:1" ht="14.25" customHeight="1">
      <c r="A133" s="9"/>
    </row>
    <row r="134" spans="1:1" ht="14.25" customHeight="1">
      <c r="A134" s="9"/>
    </row>
    <row r="135" spans="1:1" ht="14.25" customHeight="1">
      <c r="A135" s="9"/>
    </row>
    <row r="136" spans="1:1" ht="14.25" customHeight="1">
      <c r="A136" s="9"/>
    </row>
    <row r="137" spans="1:1" ht="14.25" customHeight="1">
      <c r="A137" s="9"/>
    </row>
    <row r="138" spans="1:1" ht="14.25" customHeight="1">
      <c r="A138" s="9"/>
    </row>
    <row r="139" spans="1:1" ht="14.25" customHeight="1">
      <c r="A139" s="9"/>
    </row>
    <row r="140" spans="1:1" ht="14.25" customHeight="1">
      <c r="A140" s="9"/>
    </row>
    <row r="141" spans="1:1" ht="14.25" customHeight="1">
      <c r="A141" s="9"/>
    </row>
    <row r="142" spans="1:1" ht="14.25" customHeight="1">
      <c r="A142" s="9"/>
    </row>
    <row r="143" spans="1:1" ht="14.25" customHeight="1">
      <c r="A143" s="9"/>
    </row>
    <row r="144" spans="1:1" ht="14.25" customHeight="1">
      <c r="A144" s="9"/>
    </row>
    <row r="145" spans="1:1" ht="14.25" customHeight="1">
      <c r="A145" s="9"/>
    </row>
    <row r="146" spans="1:1" ht="14.25" customHeight="1">
      <c r="A146" s="9"/>
    </row>
    <row r="147" spans="1:1" ht="14.25" customHeight="1">
      <c r="A147" s="9"/>
    </row>
    <row r="148" spans="1:1" ht="14.25" customHeight="1">
      <c r="A148" s="9"/>
    </row>
    <row r="149" spans="1:1" ht="14.25" customHeight="1">
      <c r="A149" s="9"/>
    </row>
    <row r="150" spans="1:1" ht="14.25" customHeight="1">
      <c r="A150" s="9"/>
    </row>
    <row r="151" spans="1:1" ht="14.25" customHeight="1">
      <c r="A151" s="9"/>
    </row>
    <row r="152" spans="1:1" ht="14.25" customHeight="1">
      <c r="A152" s="9"/>
    </row>
    <row r="153" spans="1:1" ht="14.25" customHeight="1">
      <c r="A153" s="9"/>
    </row>
    <row r="154" spans="1:1" ht="14.25" customHeight="1">
      <c r="A154" s="9"/>
    </row>
    <row r="155" spans="1:1" ht="14.25" customHeight="1">
      <c r="A155" s="9"/>
    </row>
    <row r="156" spans="1:1" ht="14.25" customHeight="1">
      <c r="A156" s="9"/>
    </row>
    <row r="157" spans="1:1" ht="14.25" customHeight="1">
      <c r="A157" s="9"/>
    </row>
    <row r="158" spans="1:1" ht="14.25" customHeight="1">
      <c r="A158" s="9"/>
    </row>
    <row r="159" spans="1:1" ht="14.25" customHeight="1">
      <c r="A159" s="9"/>
    </row>
    <row r="160" spans="1:1" ht="14.25" customHeight="1">
      <c r="A160" s="9"/>
    </row>
    <row r="161" spans="1:1" ht="14.25" customHeight="1">
      <c r="A161" s="9"/>
    </row>
    <row r="162" spans="1:1" ht="14.25" customHeight="1">
      <c r="A162" s="9"/>
    </row>
    <row r="163" spans="1:1" ht="14.25" customHeight="1">
      <c r="A163" s="9"/>
    </row>
    <row r="164" spans="1:1" ht="14.25" customHeight="1">
      <c r="A164" s="9"/>
    </row>
    <row r="165" spans="1:1" ht="14.25" customHeight="1">
      <c r="A165" s="9"/>
    </row>
    <row r="166" spans="1:1" ht="14.25" customHeight="1">
      <c r="A166" s="9"/>
    </row>
    <row r="167" spans="1:1" ht="14.25" customHeight="1">
      <c r="A167" s="9"/>
    </row>
    <row r="168" spans="1:1" ht="14.25" customHeight="1">
      <c r="A168" s="9"/>
    </row>
    <row r="169" spans="1:1" ht="14.25" customHeight="1">
      <c r="A169" s="9"/>
    </row>
    <row r="170" spans="1:1" ht="14.25" customHeight="1">
      <c r="A170" s="9"/>
    </row>
    <row r="171" spans="1:1" ht="14.25" customHeight="1">
      <c r="A171" s="9"/>
    </row>
    <row r="172" spans="1:1" ht="14.25" customHeight="1">
      <c r="A172" s="9"/>
    </row>
    <row r="173" spans="1:1" ht="14.25" customHeight="1">
      <c r="A173" s="9"/>
    </row>
    <row r="174" spans="1:1" ht="14.25" customHeight="1">
      <c r="A174" s="9"/>
    </row>
    <row r="175" spans="1:1" ht="14.25" customHeight="1">
      <c r="A175" s="9"/>
    </row>
    <row r="176" spans="1:1" ht="14.25" customHeight="1">
      <c r="A176" s="9"/>
    </row>
    <row r="177" spans="1:1" ht="14.25" customHeight="1">
      <c r="A177" s="9"/>
    </row>
    <row r="178" spans="1:1" ht="14.25" customHeight="1">
      <c r="A178" s="9"/>
    </row>
    <row r="179" spans="1:1" ht="14.25" customHeight="1">
      <c r="A179" s="9"/>
    </row>
    <row r="180" spans="1:1" ht="14.25" customHeight="1">
      <c r="A180" s="9"/>
    </row>
    <row r="181" spans="1:1" ht="14.25" customHeight="1">
      <c r="A181" s="9"/>
    </row>
    <row r="182" spans="1:1" ht="14.25" customHeight="1">
      <c r="A182" s="9"/>
    </row>
    <row r="183" spans="1:1" ht="14.25" customHeight="1">
      <c r="A183" s="9"/>
    </row>
    <row r="184" spans="1:1" ht="14.25" customHeight="1">
      <c r="A184" s="9"/>
    </row>
    <row r="185" spans="1:1" ht="14.25" customHeight="1">
      <c r="A185" s="9"/>
    </row>
    <row r="186" spans="1:1" ht="14.25" customHeight="1">
      <c r="A186" s="9"/>
    </row>
    <row r="187" spans="1:1" ht="14.25" customHeight="1">
      <c r="A187" s="9"/>
    </row>
    <row r="188" spans="1:1" ht="14.25" customHeight="1">
      <c r="A188" s="9"/>
    </row>
    <row r="189" spans="1:1" ht="14.25" customHeight="1">
      <c r="A189" s="9"/>
    </row>
    <row r="190" spans="1:1" ht="14.25" customHeight="1">
      <c r="A190" s="9"/>
    </row>
    <row r="191" spans="1:1" ht="14.25" customHeight="1">
      <c r="A191" s="9"/>
    </row>
    <row r="192" spans="1:1" ht="14.25" customHeight="1">
      <c r="A192" s="9"/>
    </row>
    <row r="193" spans="1:1" ht="14.25" customHeight="1">
      <c r="A193" s="9"/>
    </row>
    <row r="194" spans="1:1" ht="14.25" customHeight="1">
      <c r="A194" s="9"/>
    </row>
    <row r="195" spans="1:1" ht="14.25" customHeight="1">
      <c r="A195" s="9"/>
    </row>
    <row r="196" spans="1:1" ht="14.25" customHeight="1">
      <c r="A196" s="9"/>
    </row>
    <row r="197" spans="1:1" ht="14.25" customHeight="1">
      <c r="A197" s="9"/>
    </row>
    <row r="198" spans="1:1" ht="14.25" customHeight="1">
      <c r="A198" s="9"/>
    </row>
    <row r="199" spans="1:1" ht="14.25" customHeight="1">
      <c r="A199" s="9"/>
    </row>
    <row r="200" spans="1:1" ht="14.25" customHeight="1">
      <c r="A200" s="9"/>
    </row>
    <row r="201" spans="1:1" ht="14.25" customHeight="1">
      <c r="A201" s="9"/>
    </row>
    <row r="202" spans="1:1" ht="14.25" customHeight="1">
      <c r="A202" s="9"/>
    </row>
    <row r="203" spans="1:1" ht="14.25" customHeight="1">
      <c r="A203" s="9"/>
    </row>
    <row r="204" spans="1:1" ht="14.25" customHeight="1">
      <c r="A204" s="9"/>
    </row>
    <row r="205" spans="1:1" ht="14.25" customHeight="1">
      <c r="A205" s="9"/>
    </row>
    <row r="206" spans="1:1" ht="14.25" customHeight="1">
      <c r="A206" s="9"/>
    </row>
    <row r="207" spans="1:1" ht="14.25" customHeight="1">
      <c r="A207" s="9"/>
    </row>
    <row r="208" spans="1:1" ht="14.25" customHeight="1">
      <c r="A208" s="9"/>
    </row>
    <row r="209" spans="1:1" ht="14.25" customHeight="1">
      <c r="A209" s="9"/>
    </row>
    <row r="210" spans="1:1" ht="14.25" customHeight="1">
      <c r="A210" s="9"/>
    </row>
    <row r="211" spans="1:1" ht="14.25" customHeight="1">
      <c r="A211" s="9"/>
    </row>
    <row r="212" spans="1:1" ht="14.25" customHeight="1">
      <c r="A212" s="9"/>
    </row>
    <row r="213" spans="1:1" ht="14.25" customHeight="1">
      <c r="A213" s="9"/>
    </row>
    <row r="214" spans="1:1" ht="14.25" customHeight="1">
      <c r="A214" s="9"/>
    </row>
    <row r="215" spans="1:1" ht="14.25" customHeight="1">
      <c r="A215" s="9"/>
    </row>
    <row r="216" spans="1:1" ht="14.25" customHeight="1">
      <c r="A216" s="9"/>
    </row>
    <row r="217" spans="1:1" ht="14.25" customHeight="1">
      <c r="A217" s="9"/>
    </row>
    <row r="218" spans="1:1" ht="14.25" customHeight="1">
      <c r="A218" s="9"/>
    </row>
    <row r="219" spans="1:1" ht="14.25" customHeight="1">
      <c r="A219" s="9"/>
    </row>
    <row r="220" spans="1:1" ht="14.25" customHeight="1">
      <c r="A220" s="9"/>
    </row>
    <row r="221" spans="1:1" ht="14.25" customHeight="1">
      <c r="A221" s="9"/>
    </row>
    <row r="222" spans="1:1" ht="14.25" customHeight="1">
      <c r="A222" s="9"/>
    </row>
    <row r="223" spans="1:1" ht="14.25" customHeight="1">
      <c r="A223" s="9"/>
    </row>
    <row r="224" spans="1:1" ht="14.25" customHeight="1">
      <c r="A224" s="9"/>
    </row>
    <row r="225" spans="1:1" ht="14.25" customHeight="1">
      <c r="A225" s="9"/>
    </row>
    <row r="226" spans="1:1" ht="14.25" customHeight="1">
      <c r="A226" s="9"/>
    </row>
    <row r="227" spans="1:1" ht="14.25" customHeight="1">
      <c r="A227" s="9"/>
    </row>
    <row r="228" spans="1:1" ht="14.25" customHeight="1">
      <c r="A228" s="9"/>
    </row>
    <row r="229" spans="1:1" ht="14.25" customHeight="1">
      <c r="A229" s="9"/>
    </row>
    <row r="230" spans="1:1" ht="14.25" customHeight="1">
      <c r="A230" s="9"/>
    </row>
    <row r="231" spans="1:1" ht="14.25" customHeight="1">
      <c r="A231" s="9"/>
    </row>
    <row r="232" spans="1:1" ht="14.25" customHeight="1">
      <c r="A232" s="9"/>
    </row>
    <row r="233" spans="1:1" ht="14.25" customHeight="1">
      <c r="A233" s="9"/>
    </row>
    <row r="234" spans="1:1" ht="14.25" customHeight="1">
      <c r="A234" s="9"/>
    </row>
    <row r="235" spans="1:1" ht="14.25" customHeight="1">
      <c r="A235" s="9"/>
    </row>
    <row r="236" spans="1:1" ht="14.25" customHeight="1">
      <c r="A236" s="9"/>
    </row>
    <row r="237" spans="1:1" ht="14.25" customHeight="1">
      <c r="A237" s="9"/>
    </row>
    <row r="238" spans="1:1" ht="14.25" customHeight="1">
      <c r="A238" s="9"/>
    </row>
    <row r="239" spans="1:1" ht="14.25" customHeight="1">
      <c r="A239" s="9"/>
    </row>
    <row r="240" spans="1:1" ht="14.25" customHeight="1">
      <c r="A240" s="9"/>
    </row>
    <row r="241" spans="1:1" ht="14.25" customHeight="1">
      <c r="A241" s="9"/>
    </row>
    <row r="242" spans="1:1" ht="14.25" customHeight="1">
      <c r="A242" s="9"/>
    </row>
    <row r="243" spans="1:1" ht="14.25" customHeight="1">
      <c r="A243" s="9"/>
    </row>
    <row r="244" spans="1:1" ht="14.25" customHeight="1">
      <c r="A244" s="9"/>
    </row>
    <row r="245" spans="1:1" ht="14.25" customHeight="1">
      <c r="A245" s="9"/>
    </row>
    <row r="246" spans="1:1" ht="14.25" customHeight="1">
      <c r="A246" s="9"/>
    </row>
    <row r="247" spans="1:1" ht="14.25" customHeight="1">
      <c r="A247" s="9"/>
    </row>
    <row r="248" spans="1:1" ht="14.25" customHeight="1">
      <c r="A248" s="9"/>
    </row>
    <row r="249" spans="1:1" ht="14.25" customHeight="1">
      <c r="A249" s="9"/>
    </row>
    <row r="250" spans="1:1" ht="14.25" customHeight="1">
      <c r="A250" s="9"/>
    </row>
    <row r="251" spans="1:1" ht="14.25" customHeight="1">
      <c r="A251" s="9"/>
    </row>
    <row r="252" spans="1:1" ht="14.25" customHeight="1">
      <c r="A252" s="9"/>
    </row>
    <row r="253" spans="1:1" ht="14.25" customHeight="1">
      <c r="A253" s="9"/>
    </row>
    <row r="254" spans="1:1" ht="14.25" customHeight="1">
      <c r="A254" s="9"/>
    </row>
    <row r="255" spans="1:1" ht="14.25" customHeight="1">
      <c r="A255" s="9"/>
    </row>
    <row r="256" spans="1:1" ht="14.25" customHeight="1">
      <c r="A256" s="9"/>
    </row>
    <row r="257" spans="1:1" ht="14.25" customHeight="1">
      <c r="A257" s="9"/>
    </row>
    <row r="258" spans="1:1" ht="14.25" customHeight="1">
      <c r="A258" s="9"/>
    </row>
    <row r="259" spans="1:1" ht="14.25" customHeight="1">
      <c r="A259" s="9"/>
    </row>
    <row r="260" spans="1:1" ht="14.25" customHeight="1">
      <c r="A260" s="9"/>
    </row>
    <row r="261" spans="1:1" ht="14.25" customHeight="1">
      <c r="A261" s="9"/>
    </row>
    <row r="262" spans="1:1" ht="14.25" customHeight="1">
      <c r="A262" s="9"/>
    </row>
    <row r="263" spans="1:1" ht="14.25" customHeight="1">
      <c r="A263" s="9"/>
    </row>
    <row r="264" spans="1:1" ht="14.25" customHeight="1">
      <c r="A264" s="9"/>
    </row>
    <row r="265" spans="1:1" ht="14.25" customHeight="1">
      <c r="A265" s="9"/>
    </row>
    <row r="266" spans="1:1" ht="14.25" customHeight="1">
      <c r="A266" s="9"/>
    </row>
    <row r="267" spans="1:1" ht="14.25" customHeight="1">
      <c r="A267" s="9"/>
    </row>
    <row r="268" spans="1:1" ht="14.25" customHeight="1">
      <c r="A268" s="9"/>
    </row>
    <row r="269" spans="1:1" ht="14.25" customHeight="1">
      <c r="A269" s="9"/>
    </row>
    <row r="270" spans="1:1" ht="14.25" customHeight="1">
      <c r="A270" s="9"/>
    </row>
    <row r="271" spans="1:1" ht="14.25" customHeight="1">
      <c r="A271" s="9"/>
    </row>
    <row r="272" spans="1:1" ht="14.25" customHeight="1">
      <c r="A272" s="9"/>
    </row>
    <row r="273" spans="1:1" ht="14.25" customHeight="1">
      <c r="A273" s="9"/>
    </row>
    <row r="274" spans="1:1" ht="14.25" customHeight="1">
      <c r="A274" s="9"/>
    </row>
    <row r="275" spans="1:1" ht="14.25" customHeight="1">
      <c r="A275" s="9"/>
    </row>
    <row r="276" spans="1:1" ht="14.25" customHeight="1">
      <c r="A276" s="9"/>
    </row>
    <row r="277" spans="1:1" ht="14.25" customHeight="1">
      <c r="A277" s="9"/>
    </row>
    <row r="278" spans="1:1" ht="14.25" customHeight="1">
      <c r="A278" s="9"/>
    </row>
    <row r="279" spans="1:1" ht="14.25" customHeight="1">
      <c r="A279" s="9"/>
    </row>
    <row r="280" spans="1:1" ht="14.25" customHeight="1">
      <c r="A280" s="9"/>
    </row>
    <row r="281" spans="1:1" ht="14.25" customHeight="1">
      <c r="A281" s="9"/>
    </row>
    <row r="282" spans="1:1" ht="14.25" customHeight="1">
      <c r="A282" s="9"/>
    </row>
    <row r="283" spans="1:1" ht="14.25" customHeight="1">
      <c r="A283" s="9"/>
    </row>
    <row r="284" spans="1:1" ht="14.25" customHeight="1">
      <c r="A284" s="9"/>
    </row>
    <row r="285" spans="1:1" ht="14.25" customHeight="1">
      <c r="A285" s="9"/>
    </row>
    <row r="286" spans="1:1" ht="14.25" customHeight="1">
      <c r="A286" s="9"/>
    </row>
    <row r="287" spans="1:1" ht="14.25" customHeight="1">
      <c r="A287" s="9"/>
    </row>
    <row r="288" spans="1:1" ht="14.25" customHeight="1">
      <c r="A288" s="9"/>
    </row>
    <row r="289" spans="1:1" ht="14.25" customHeight="1">
      <c r="A289" s="9"/>
    </row>
    <row r="290" spans="1:1" ht="14.25" customHeight="1">
      <c r="A290" s="9"/>
    </row>
    <row r="291" spans="1:1" ht="14.25" customHeight="1">
      <c r="A291" s="9"/>
    </row>
    <row r="292" spans="1:1" ht="14.25" customHeight="1">
      <c r="A292" s="9"/>
    </row>
    <row r="293" spans="1:1" ht="14.25" customHeight="1">
      <c r="A293" s="9"/>
    </row>
    <row r="294" spans="1:1" ht="14.25" customHeight="1">
      <c r="A294" s="9"/>
    </row>
    <row r="295" spans="1:1" ht="14.25" customHeight="1">
      <c r="A295" s="9"/>
    </row>
    <row r="296" spans="1:1" ht="14.25" customHeight="1">
      <c r="A296" s="9"/>
    </row>
    <row r="297" spans="1:1" ht="14.25" customHeight="1">
      <c r="A297" s="9"/>
    </row>
    <row r="298" spans="1:1" ht="14.25" customHeight="1">
      <c r="A298" s="9"/>
    </row>
    <row r="299" spans="1:1" ht="14.25" customHeight="1">
      <c r="A299" s="9"/>
    </row>
    <row r="300" spans="1:1" ht="14.25" customHeight="1">
      <c r="A300" s="9"/>
    </row>
    <row r="301" spans="1:1" ht="14.25" customHeight="1">
      <c r="A301" s="9"/>
    </row>
    <row r="302" spans="1:1" ht="14.25" customHeight="1">
      <c r="A302" s="9"/>
    </row>
    <row r="303" spans="1:1" ht="14.25" customHeight="1">
      <c r="A303" s="9"/>
    </row>
    <row r="304" spans="1:1" ht="14.25" customHeight="1">
      <c r="A304" s="9"/>
    </row>
    <row r="305" spans="1:1" ht="14.25" customHeight="1">
      <c r="A305" s="9"/>
    </row>
    <row r="306" spans="1:1" ht="14.25" customHeight="1">
      <c r="A306" s="9"/>
    </row>
    <row r="307" spans="1:1" ht="14.25" customHeight="1">
      <c r="A307" s="9"/>
    </row>
    <row r="308" spans="1:1" ht="14.25" customHeight="1">
      <c r="A308" s="9"/>
    </row>
    <row r="309" spans="1:1" ht="14.25" customHeight="1">
      <c r="A309" s="9"/>
    </row>
    <row r="310" spans="1:1" ht="14.25" customHeight="1">
      <c r="A310" s="9"/>
    </row>
    <row r="311" spans="1:1" ht="14.25" customHeight="1">
      <c r="A311" s="9"/>
    </row>
    <row r="312" spans="1:1" ht="14.25" customHeight="1">
      <c r="A312" s="9"/>
    </row>
    <row r="313" spans="1:1" ht="14.25" customHeight="1">
      <c r="A313" s="9"/>
    </row>
    <row r="314" spans="1:1" ht="14.25" customHeight="1">
      <c r="A314" s="9"/>
    </row>
    <row r="315" spans="1:1" ht="14.25" customHeight="1">
      <c r="A315" s="9"/>
    </row>
    <row r="316" spans="1:1" ht="14.25" customHeight="1">
      <c r="A316" s="9"/>
    </row>
    <row r="317" spans="1:1" ht="14.25" customHeight="1">
      <c r="A317" s="9"/>
    </row>
    <row r="318" spans="1:1" ht="14.25" customHeight="1">
      <c r="A318" s="9"/>
    </row>
    <row r="319" spans="1:1" ht="14.25" customHeight="1">
      <c r="A319" s="9"/>
    </row>
    <row r="320" spans="1:1" ht="14.25" customHeight="1">
      <c r="A320" s="9"/>
    </row>
    <row r="321" spans="1:1" ht="14.25" customHeight="1">
      <c r="A321" s="9"/>
    </row>
    <row r="322" spans="1:1" ht="14.25" customHeight="1">
      <c r="A322" s="9"/>
    </row>
    <row r="323" spans="1:1" ht="14.25" customHeight="1">
      <c r="A323" s="9"/>
    </row>
    <row r="324" spans="1:1" ht="14.25" customHeight="1">
      <c r="A324" s="9"/>
    </row>
    <row r="325" spans="1:1" ht="14.25" customHeight="1">
      <c r="A325" s="9"/>
    </row>
    <row r="326" spans="1:1" ht="14.25" customHeight="1">
      <c r="A326" s="9"/>
    </row>
    <row r="327" spans="1:1" ht="14.25" customHeight="1">
      <c r="A327" s="9"/>
    </row>
    <row r="328" spans="1:1" ht="14.25" customHeight="1">
      <c r="A328" s="9"/>
    </row>
    <row r="329" spans="1:1" ht="14.25" customHeight="1">
      <c r="A329" s="9"/>
    </row>
    <row r="330" spans="1:1" ht="14.25" customHeight="1">
      <c r="A330" s="9"/>
    </row>
    <row r="331" spans="1:1" ht="14.25" customHeight="1">
      <c r="A331" s="9"/>
    </row>
    <row r="332" spans="1:1" ht="14.25" customHeight="1">
      <c r="A332" s="9"/>
    </row>
    <row r="333" spans="1:1" ht="14.25" customHeight="1">
      <c r="A333" s="9"/>
    </row>
    <row r="334" spans="1:1" ht="14.25" customHeight="1">
      <c r="A334" s="9"/>
    </row>
    <row r="335" spans="1:1" ht="14.25" customHeight="1">
      <c r="A335" s="9"/>
    </row>
    <row r="336" spans="1:1" ht="14.25" customHeight="1">
      <c r="A336" s="9"/>
    </row>
    <row r="337" spans="1:1" ht="14.25" customHeight="1">
      <c r="A337" s="9"/>
    </row>
    <row r="338" spans="1:1" ht="14.25" customHeight="1">
      <c r="A338" s="9"/>
    </row>
    <row r="339" spans="1:1" ht="14.25" customHeight="1">
      <c r="A339" s="9"/>
    </row>
    <row r="340" spans="1:1" ht="14.25" customHeight="1">
      <c r="A340" s="9"/>
    </row>
    <row r="341" spans="1:1" ht="14.25" customHeight="1">
      <c r="A341" s="9"/>
    </row>
    <row r="342" spans="1:1" ht="14.25" customHeight="1">
      <c r="A342" s="9"/>
    </row>
    <row r="343" spans="1:1" ht="14.25" customHeight="1">
      <c r="A343" s="9"/>
    </row>
    <row r="344" spans="1:1" ht="14.25" customHeight="1">
      <c r="A344" s="9"/>
    </row>
    <row r="345" spans="1:1" ht="14.25" customHeight="1">
      <c r="A345" s="9"/>
    </row>
    <row r="346" spans="1:1" ht="14.25" customHeight="1">
      <c r="A346" s="9"/>
    </row>
    <row r="347" spans="1:1" ht="14.25" customHeight="1">
      <c r="A347" s="9"/>
    </row>
    <row r="348" spans="1:1" ht="14.25" customHeight="1">
      <c r="A348" s="9"/>
    </row>
    <row r="349" spans="1:1" ht="14.25" customHeight="1">
      <c r="A349" s="9"/>
    </row>
    <row r="350" spans="1:1" ht="14.25" customHeight="1">
      <c r="A350" s="9"/>
    </row>
    <row r="351" spans="1:1" ht="14.25" customHeight="1">
      <c r="A351" s="9"/>
    </row>
    <row r="352" spans="1:1" ht="14.25" customHeight="1">
      <c r="A352" s="9"/>
    </row>
    <row r="353" spans="1:1" ht="14.25" customHeight="1">
      <c r="A353" s="9"/>
    </row>
    <row r="354" spans="1:1" ht="14.25" customHeight="1">
      <c r="A354" s="9"/>
    </row>
    <row r="355" spans="1:1" ht="14.25" customHeight="1">
      <c r="A355" s="9"/>
    </row>
    <row r="356" spans="1:1" ht="14.25" customHeight="1">
      <c r="A356" s="9"/>
    </row>
    <row r="357" spans="1:1" ht="14.25" customHeight="1">
      <c r="A357" s="9"/>
    </row>
    <row r="358" spans="1:1" ht="14.25" customHeight="1">
      <c r="A358" s="9"/>
    </row>
    <row r="359" spans="1:1" ht="14.25" customHeight="1">
      <c r="A359" s="9"/>
    </row>
    <row r="360" spans="1:1" ht="14.25" customHeight="1">
      <c r="A360" s="9"/>
    </row>
    <row r="361" spans="1:1" ht="14.25" customHeight="1">
      <c r="A361" s="9"/>
    </row>
    <row r="362" spans="1:1" ht="14.25" customHeight="1">
      <c r="A362" s="9"/>
    </row>
    <row r="363" spans="1:1" ht="14.25" customHeight="1">
      <c r="A363" s="9"/>
    </row>
    <row r="364" spans="1:1" ht="14.25" customHeight="1">
      <c r="A364" s="9"/>
    </row>
    <row r="365" spans="1:1" ht="14.25" customHeight="1">
      <c r="A365" s="9"/>
    </row>
    <row r="366" spans="1:1" ht="14.25" customHeight="1">
      <c r="A366" s="9"/>
    </row>
    <row r="367" spans="1:1" ht="14.25" customHeight="1">
      <c r="A367" s="9"/>
    </row>
    <row r="368" spans="1:1" ht="14.25" customHeight="1">
      <c r="A368" s="9"/>
    </row>
    <row r="369" spans="1:1" ht="14.25" customHeight="1">
      <c r="A369" s="9"/>
    </row>
    <row r="370" spans="1:1" ht="14.25" customHeight="1">
      <c r="A370" s="9"/>
    </row>
    <row r="371" spans="1:1" ht="14.25" customHeight="1">
      <c r="A371" s="9"/>
    </row>
    <row r="372" spans="1:1" ht="14.25" customHeight="1">
      <c r="A372" s="9"/>
    </row>
    <row r="373" spans="1:1" ht="14.25" customHeight="1">
      <c r="A373" s="9"/>
    </row>
    <row r="374" spans="1:1" ht="14.25" customHeight="1">
      <c r="A374" s="9"/>
    </row>
    <row r="375" spans="1:1" ht="14.25" customHeight="1">
      <c r="A375" s="9"/>
    </row>
    <row r="376" spans="1:1" ht="14.25" customHeight="1">
      <c r="A376" s="9"/>
    </row>
    <row r="377" spans="1:1" ht="14.25" customHeight="1">
      <c r="A377" s="9"/>
    </row>
    <row r="378" spans="1:1" ht="14.25" customHeight="1">
      <c r="A378" s="9"/>
    </row>
    <row r="379" spans="1:1" ht="14.25" customHeight="1">
      <c r="A379" s="9"/>
    </row>
    <row r="380" spans="1:1" ht="14.25" customHeight="1">
      <c r="A380" s="9"/>
    </row>
    <row r="381" spans="1:1" ht="14.25" customHeight="1">
      <c r="A381" s="9"/>
    </row>
    <row r="382" spans="1:1" ht="14.25" customHeight="1">
      <c r="A382" s="9"/>
    </row>
    <row r="383" spans="1:1" ht="14.25" customHeight="1">
      <c r="A383" s="9"/>
    </row>
    <row r="384" spans="1:1" ht="14.25" customHeight="1">
      <c r="A384" s="9"/>
    </row>
    <row r="385" spans="1:1" ht="14.25" customHeight="1">
      <c r="A385" s="9"/>
    </row>
    <row r="386" spans="1:1" ht="14.25" customHeight="1">
      <c r="A386" s="9"/>
    </row>
    <row r="387" spans="1:1" ht="14.25" customHeight="1">
      <c r="A387" s="9"/>
    </row>
    <row r="388" spans="1:1" ht="14.25" customHeight="1">
      <c r="A388" s="9"/>
    </row>
    <row r="389" spans="1:1" ht="14.25" customHeight="1">
      <c r="A389" s="9"/>
    </row>
    <row r="390" spans="1:1" ht="14.25" customHeight="1">
      <c r="A390" s="9"/>
    </row>
    <row r="391" spans="1:1" ht="14.25" customHeight="1">
      <c r="A391" s="9"/>
    </row>
    <row r="392" spans="1:1" ht="14.25" customHeight="1">
      <c r="A392" s="9"/>
    </row>
    <row r="393" spans="1:1" ht="14.25" customHeight="1">
      <c r="A393" s="9"/>
    </row>
    <row r="394" spans="1:1" ht="14.25" customHeight="1">
      <c r="A394" s="9"/>
    </row>
    <row r="395" spans="1:1" ht="14.25" customHeight="1">
      <c r="A395" s="9"/>
    </row>
    <row r="396" spans="1:1" ht="14.25" customHeight="1">
      <c r="A396" s="9"/>
    </row>
    <row r="397" spans="1:1" ht="14.25" customHeight="1">
      <c r="A397" s="9"/>
    </row>
    <row r="398" spans="1:1" ht="14.25" customHeight="1">
      <c r="A398" s="9"/>
    </row>
    <row r="399" spans="1:1" ht="14.25" customHeight="1">
      <c r="A399" s="9"/>
    </row>
    <row r="400" spans="1:1" ht="14.25" customHeight="1">
      <c r="A400" s="9"/>
    </row>
    <row r="401" spans="1:1" ht="14.25" customHeight="1">
      <c r="A401" s="9"/>
    </row>
    <row r="402" spans="1:1" ht="14.25" customHeight="1">
      <c r="A402" s="9"/>
    </row>
    <row r="403" spans="1:1" ht="14.25" customHeight="1">
      <c r="A403" s="9"/>
    </row>
    <row r="404" spans="1:1" ht="14.25" customHeight="1">
      <c r="A404" s="9"/>
    </row>
    <row r="405" spans="1:1" ht="14.25" customHeight="1">
      <c r="A405" s="9"/>
    </row>
    <row r="406" spans="1:1" ht="14.25" customHeight="1">
      <c r="A406" s="9"/>
    </row>
    <row r="407" spans="1:1" ht="14.25" customHeight="1">
      <c r="A407" s="9"/>
    </row>
    <row r="408" spans="1:1" ht="14.25" customHeight="1">
      <c r="A408" s="9"/>
    </row>
    <row r="409" spans="1:1" ht="14.25" customHeight="1">
      <c r="A409" s="9"/>
    </row>
    <row r="410" spans="1:1" ht="14.25" customHeight="1">
      <c r="A410" s="9"/>
    </row>
    <row r="411" spans="1:1" ht="14.25" customHeight="1">
      <c r="A411" s="9"/>
    </row>
    <row r="412" spans="1:1" ht="14.25" customHeight="1">
      <c r="A412" s="9"/>
    </row>
    <row r="413" spans="1:1" ht="14.25" customHeight="1">
      <c r="A413" s="9"/>
    </row>
    <row r="414" spans="1:1" ht="14.25" customHeight="1">
      <c r="A414" s="9"/>
    </row>
    <row r="415" spans="1:1" ht="14.25" customHeight="1">
      <c r="A415" s="9"/>
    </row>
    <row r="416" spans="1:1" ht="14.25" customHeight="1">
      <c r="A416" s="9"/>
    </row>
    <row r="417" spans="1:1" ht="14.25" customHeight="1">
      <c r="A417" s="9"/>
    </row>
    <row r="418" spans="1:1" ht="14.25" customHeight="1">
      <c r="A418" s="9"/>
    </row>
    <row r="419" spans="1:1" ht="14.25" customHeight="1">
      <c r="A419" s="9"/>
    </row>
    <row r="420" spans="1:1" ht="14.25" customHeight="1">
      <c r="A420" s="9"/>
    </row>
    <row r="421" spans="1:1" ht="14.25" customHeight="1">
      <c r="A421" s="9"/>
    </row>
    <row r="422" spans="1:1" ht="14.25" customHeight="1">
      <c r="A422" s="9"/>
    </row>
    <row r="423" spans="1:1" ht="14.25" customHeight="1">
      <c r="A423" s="9"/>
    </row>
    <row r="424" spans="1:1" ht="14.25" customHeight="1">
      <c r="A424" s="9"/>
    </row>
    <row r="425" spans="1:1" ht="14.25" customHeight="1">
      <c r="A425" s="9"/>
    </row>
    <row r="426" spans="1:1" ht="14.25" customHeight="1">
      <c r="A426" s="9"/>
    </row>
    <row r="427" spans="1:1" ht="14.25" customHeight="1">
      <c r="A427" s="9"/>
    </row>
    <row r="428" spans="1:1" ht="14.25" customHeight="1">
      <c r="A428" s="9"/>
    </row>
    <row r="429" spans="1:1" ht="14.25" customHeight="1">
      <c r="A429" s="9"/>
    </row>
    <row r="430" spans="1:1" ht="14.25" customHeight="1">
      <c r="A430" s="9"/>
    </row>
    <row r="431" spans="1:1" ht="14.25" customHeight="1">
      <c r="A431" s="9"/>
    </row>
    <row r="432" spans="1:1" ht="14.25" customHeight="1">
      <c r="A432" s="9"/>
    </row>
    <row r="433" spans="1:1" ht="14.25" customHeight="1">
      <c r="A433" s="9"/>
    </row>
    <row r="434" spans="1:1" ht="14.25" customHeight="1">
      <c r="A434" s="9"/>
    </row>
    <row r="435" spans="1:1" ht="14.25" customHeight="1">
      <c r="A435" s="9"/>
    </row>
    <row r="436" spans="1:1" ht="14.25" customHeight="1">
      <c r="A436" s="9"/>
    </row>
    <row r="437" spans="1:1" ht="14.25" customHeight="1">
      <c r="A437" s="9"/>
    </row>
    <row r="438" spans="1:1" ht="14.25" customHeight="1">
      <c r="A438" s="9"/>
    </row>
    <row r="439" spans="1:1" ht="14.25" customHeight="1">
      <c r="A439" s="9"/>
    </row>
    <row r="440" spans="1:1" ht="14.25" customHeight="1">
      <c r="A440" s="9"/>
    </row>
    <row r="441" spans="1:1" ht="14.25" customHeight="1">
      <c r="A441" s="9"/>
    </row>
    <row r="442" spans="1:1" ht="14.25" customHeight="1">
      <c r="A442" s="9"/>
    </row>
    <row r="443" spans="1:1" ht="14.25" customHeight="1">
      <c r="A443" s="9"/>
    </row>
    <row r="444" spans="1:1" ht="14.25" customHeight="1">
      <c r="A444" s="9"/>
    </row>
    <row r="445" spans="1:1" ht="14.25" customHeight="1">
      <c r="A445" s="9"/>
    </row>
    <row r="446" spans="1:1" ht="14.25" customHeight="1">
      <c r="A446" s="9"/>
    </row>
    <row r="447" spans="1:1" ht="14.25" customHeight="1">
      <c r="A447" s="9"/>
    </row>
    <row r="448" spans="1:1" ht="14.25" customHeight="1">
      <c r="A448" s="9"/>
    </row>
    <row r="449" spans="1:1" ht="14.25" customHeight="1">
      <c r="A449" s="9"/>
    </row>
    <row r="450" spans="1:1" ht="14.25" customHeight="1">
      <c r="A450" s="9"/>
    </row>
    <row r="451" spans="1:1" ht="14.25" customHeight="1">
      <c r="A451" s="9"/>
    </row>
    <row r="452" spans="1:1" ht="14.25" customHeight="1">
      <c r="A452" s="9"/>
    </row>
    <row r="453" spans="1:1" ht="14.25" customHeight="1">
      <c r="A453" s="9"/>
    </row>
    <row r="454" spans="1:1" ht="14.25" customHeight="1">
      <c r="A454" s="9"/>
    </row>
    <row r="455" spans="1:1" ht="14.25" customHeight="1">
      <c r="A455" s="9"/>
    </row>
    <row r="456" spans="1:1" ht="14.25" customHeight="1">
      <c r="A456" s="9"/>
    </row>
    <row r="457" spans="1:1" ht="14.25" customHeight="1">
      <c r="A457" s="9"/>
    </row>
    <row r="458" spans="1:1" ht="14.25" customHeight="1">
      <c r="A458" s="9"/>
    </row>
    <row r="459" spans="1:1" ht="14.25" customHeight="1">
      <c r="A459" s="9"/>
    </row>
    <row r="460" spans="1:1" ht="14.25" customHeight="1">
      <c r="A460" s="9"/>
    </row>
    <row r="461" spans="1:1" ht="14.25" customHeight="1">
      <c r="A461" s="9"/>
    </row>
    <row r="462" spans="1:1" ht="14.25" customHeight="1">
      <c r="A462" s="9"/>
    </row>
    <row r="463" spans="1:1" ht="14.25" customHeight="1">
      <c r="A463" s="9"/>
    </row>
    <row r="464" spans="1:1" ht="14.25" customHeight="1">
      <c r="A464" s="9"/>
    </row>
    <row r="465" spans="1:1" ht="14.25" customHeight="1">
      <c r="A465" s="9"/>
    </row>
    <row r="466" spans="1:1" ht="14.25" customHeight="1">
      <c r="A466" s="9"/>
    </row>
    <row r="467" spans="1:1" ht="14.25" customHeight="1">
      <c r="A467" s="9"/>
    </row>
    <row r="468" spans="1:1" ht="14.25" customHeight="1">
      <c r="A468" s="9"/>
    </row>
    <row r="469" spans="1:1" ht="14.25" customHeight="1">
      <c r="A469" s="9"/>
    </row>
    <row r="470" spans="1:1" ht="14.25" customHeight="1">
      <c r="A470" s="9"/>
    </row>
    <row r="471" spans="1:1" ht="14.25" customHeight="1">
      <c r="A471" s="9"/>
    </row>
    <row r="472" spans="1:1" ht="14.25" customHeight="1">
      <c r="A472" s="9"/>
    </row>
    <row r="473" spans="1:1" ht="14.25" customHeight="1">
      <c r="A473" s="9"/>
    </row>
    <row r="474" spans="1:1" ht="14.25" customHeight="1">
      <c r="A474" s="9"/>
    </row>
    <row r="475" spans="1:1" ht="14.25" customHeight="1">
      <c r="A475" s="9"/>
    </row>
    <row r="476" spans="1:1" ht="14.25" customHeight="1">
      <c r="A476" s="9"/>
    </row>
    <row r="477" spans="1:1" ht="14.25" customHeight="1">
      <c r="A477" s="9"/>
    </row>
    <row r="478" spans="1:1" ht="14.25" customHeight="1">
      <c r="A478" s="9"/>
    </row>
    <row r="479" spans="1:1" ht="14.25" customHeight="1">
      <c r="A479" s="9"/>
    </row>
    <row r="480" spans="1:1" ht="14.25" customHeight="1">
      <c r="A480" s="9"/>
    </row>
    <row r="481" spans="1:1" ht="14.25" customHeight="1">
      <c r="A481" s="9"/>
    </row>
    <row r="482" spans="1:1" ht="14.25" customHeight="1">
      <c r="A482" s="9"/>
    </row>
    <row r="483" spans="1:1" ht="14.25" customHeight="1">
      <c r="A483" s="9"/>
    </row>
    <row r="484" spans="1:1" ht="14.25" customHeight="1">
      <c r="A484" s="9"/>
    </row>
    <row r="485" spans="1:1" ht="14.25" customHeight="1">
      <c r="A485" s="9"/>
    </row>
    <row r="486" spans="1:1" ht="14.25" customHeight="1">
      <c r="A486" s="9"/>
    </row>
    <row r="487" spans="1:1" ht="14.25" customHeight="1">
      <c r="A487" s="9"/>
    </row>
    <row r="488" spans="1:1" ht="14.25" customHeight="1">
      <c r="A488" s="9"/>
    </row>
    <row r="489" spans="1:1" ht="14.25" customHeight="1">
      <c r="A489" s="9"/>
    </row>
    <row r="490" spans="1:1" ht="14.25" customHeight="1">
      <c r="A490" s="9"/>
    </row>
    <row r="491" spans="1:1" ht="14.25" customHeight="1">
      <c r="A491" s="9"/>
    </row>
    <row r="492" spans="1:1" ht="14.25" customHeight="1">
      <c r="A492" s="9"/>
    </row>
    <row r="493" spans="1:1" ht="14.25" customHeight="1">
      <c r="A493" s="9"/>
    </row>
    <row r="494" spans="1:1" ht="14.25" customHeight="1">
      <c r="A494" s="9"/>
    </row>
    <row r="495" spans="1:1" ht="14.25" customHeight="1">
      <c r="A495" s="9"/>
    </row>
    <row r="496" spans="1:1" ht="14.25" customHeight="1">
      <c r="A496" s="9"/>
    </row>
    <row r="497" spans="1:1" ht="14.25" customHeight="1">
      <c r="A497" s="9"/>
    </row>
    <row r="498" spans="1:1" ht="14.25" customHeight="1">
      <c r="A498" s="9"/>
    </row>
    <row r="499" spans="1:1" ht="14.25" customHeight="1">
      <c r="A499" s="9"/>
    </row>
    <row r="500" spans="1:1" ht="14.25" customHeight="1">
      <c r="A500" s="9"/>
    </row>
    <row r="501" spans="1:1" ht="14.25" customHeight="1">
      <c r="A501" s="9"/>
    </row>
    <row r="502" spans="1:1" ht="14.25" customHeight="1">
      <c r="A502" s="9"/>
    </row>
    <row r="503" spans="1:1" ht="14.25" customHeight="1">
      <c r="A503" s="9"/>
    </row>
    <row r="504" spans="1:1" ht="14.25" customHeight="1">
      <c r="A504" s="9"/>
    </row>
    <row r="505" spans="1:1" ht="14.25" customHeight="1">
      <c r="A505" s="9"/>
    </row>
    <row r="506" spans="1:1" ht="14.25" customHeight="1">
      <c r="A506" s="9"/>
    </row>
    <row r="507" spans="1:1" ht="14.25" customHeight="1">
      <c r="A507" s="9"/>
    </row>
    <row r="508" spans="1:1" ht="14.25" customHeight="1">
      <c r="A508" s="9"/>
    </row>
    <row r="509" spans="1:1" ht="14.25" customHeight="1">
      <c r="A509" s="9"/>
    </row>
    <row r="510" spans="1:1" ht="14.25" customHeight="1">
      <c r="A510" s="9"/>
    </row>
    <row r="511" spans="1:1" ht="14.25" customHeight="1">
      <c r="A511" s="9"/>
    </row>
    <row r="512" spans="1:1" ht="14.25" customHeight="1">
      <c r="A512" s="9"/>
    </row>
    <row r="513" spans="1:1" ht="14.25" customHeight="1">
      <c r="A513" s="9"/>
    </row>
    <row r="514" spans="1:1" ht="14.25" customHeight="1">
      <c r="A514" s="9"/>
    </row>
    <row r="515" spans="1:1" ht="14.25" customHeight="1">
      <c r="A515" s="9"/>
    </row>
    <row r="516" spans="1:1" ht="14.25" customHeight="1">
      <c r="A516" s="9"/>
    </row>
    <row r="517" spans="1:1" ht="14.25" customHeight="1">
      <c r="A517" s="9"/>
    </row>
    <row r="518" spans="1:1" ht="14.25" customHeight="1">
      <c r="A518" s="9"/>
    </row>
    <row r="519" spans="1:1" ht="14.25" customHeight="1">
      <c r="A519" s="9"/>
    </row>
    <row r="520" spans="1:1" ht="14.25" customHeight="1">
      <c r="A520" s="9"/>
    </row>
    <row r="521" spans="1:1" ht="14.25" customHeight="1">
      <c r="A521" s="9"/>
    </row>
    <row r="522" spans="1:1" ht="14.25" customHeight="1">
      <c r="A522" s="9"/>
    </row>
    <row r="523" spans="1:1" ht="14.25" customHeight="1">
      <c r="A523" s="9"/>
    </row>
    <row r="524" spans="1:1" ht="14.25" customHeight="1">
      <c r="A524" s="9"/>
    </row>
    <row r="525" spans="1:1" ht="14.25" customHeight="1">
      <c r="A525" s="9"/>
    </row>
    <row r="526" spans="1:1" ht="14.25" customHeight="1">
      <c r="A526" s="9"/>
    </row>
    <row r="527" spans="1:1" ht="14.25" customHeight="1">
      <c r="A527" s="9"/>
    </row>
    <row r="528" spans="1:1" ht="14.25" customHeight="1">
      <c r="A528" s="9"/>
    </row>
    <row r="529" spans="1:1" ht="14.25" customHeight="1">
      <c r="A529" s="9"/>
    </row>
    <row r="530" spans="1:1" ht="14.25" customHeight="1">
      <c r="A530" s="9"/>
    </row>
    <row r="531" spans="1:1" ht="14.25" customHeight="1">
      <c r="A531" s="9"/>
    </row>
    <row r="532" spans="1:1" ht="14.25" customHeight="1">
      <c r="A532" s="9"/>
    </row>
    <row r="533" spans="1:1" ht="14.25" customHeight="1">
      <c r="A533" s="9"/>
    </row>
    <row r="534" spans="1:1" ht="14.25" customHeight="1">
      <c r="A534" s="9"/>
    </row>
    <row r="535" spans="1:1" ht="14.25" customHeight="1">
      <c r="A535" s="9"/>
    </row>
    <row r="536" spans="1:1" ht="14.25" customHeight="1">
      <c r="A536" s="9"/>
    </row>
    <row r="537" spans="1:1" ht="14.25" customHeight="1">
      <c r="A537" s="9"/>
    </row>
    <row r="538" spans="1:1" ht="14.25" customHeight="1">
      <c r="A538" s="9"/>
    </row>
    <row r="539" spans="1:1" ht="14.25" customHeight="1">
      <c r="A539" s="9"/>
    </row>
    <row r="540" spans="1:1" ht="14.25" customHeight="1">
      <c r="A540" s="9"/>
    </row>
    <row r="541" spans="1:1" ht="14.25" customHeight="1">
      <c r="A541" s="9"/>
    </row>
    <row r="542" spans="1:1" ht="14.25" customHeight="1">
      <c r="A542" s="9"/>
    </row>
    <row r="543" spans="1:1" ht="14.25" customHeight="1">
      <c r="A543" s="9"/>
    </row>
    <row r="544" spans="1:1" ht="14.25" customHeight="1">
      <c r="A544" s="9"/>
    </row>
    <row r="545" spans="1:1" ht="14.25" customHeight="1">
      <c r="A545" s="9"/>
    </row>
    <row r="546" spans="1:1" ht="14.25" customHeight="1">
      <c r="A546" s="9"/>
    </row>
    <row r="547" spans="1:1" ht="14.25" customHeight="1">
      <c r="A547" s="9"/>
    </row>
    <row r="548" spans="1:1" ht="14.25" customHeight="1">
      <c r="A548" s="9"/>
    </row>
    <row r="549" spans="1:1" ht="14.25" customHeight="1">
      <c r="A549" s="9"/>
    </row>
    <row r="550" spans="1:1" ht="14.25" customHeight="1">
      <c r="A550" s="9"/>
    </row>
    <row r="551" spans="1:1" ht="14.25" customHeight="1">
      <c r="A551" s="9"/>
    </row>
    <row r="552" spans="1:1" ht="14.25" customHeight="1">
      <c r="A552" s="9"/>
    </row>
    <row r="553" spans="1:1" ht="14.25" customHeight="1">
      <c r="A553" s="9"/>
    </row>
    <row r="554" spans="1:1" ht="14.25" customHeight="1">
      <c r="A554" s="9"/>
    </row>
    <row r="555" spans="1:1" ht="14.25" customHeight="1">
      <c r="A555" s="9"/>
    </row>
    <row r="556" spans="1:1" ht="14.25" customHeight="1">
      <c r="A556" s="9"/>
    </row>
    <row r="557" spans="1:1" ht="14.25" customHeight="1">
      <c r="A557" s="9"/>
    </row>
    <row r="558" spans="1:1" ht="14.25" customHeight="1">
      <c r="A558" s="9"/>
    </row>
    <row r="559" spans="1:1" ht="14.25" customHeight="1">
      <c r="A559" s="9"/>
    </row>
    <row r="560" spans="1:1" ht="14.25" customHeight="1">
      <c r="A560" s="9"/>
    </row>
    <row r="561" spans="1:1" ht="14.25" customHeight="1">
      <c r="A561" s="9"/>
    </row>
    <row r="562" spans="1:1" ht="14.25" customHeight="1">
      <c r="A562" s="9"/>
    </row>
    <row r="563" spans="1:1" ht="14.25" customHeight="1">
      <c r="A563" s="9"/>
    </row>
    <row r="564" spans="1:1" ht="14.25" customHeight="1">
      <c r="A564" s="9"/>
    </row>
    <row r="565" spans="1:1" ht="14.25" customHeight="1">
      <c r="A565" s="9"/>
    </row>
    <row r="566" spans="1:1" ht="14.25" customHeight="1">
      <c r="A566" s="9"/>
    </row>
    <row r="567" spans="1:1" ht="14.25" customHeight="1">
      <c r="A567" s="9"/>
    </row>
    <row r="568" spans="1:1" ht="14.25" customHeight="1">
      <c r="A568" s="9"/>
    </row>
    <row r="569" spans="1:1" ht="14.25" customHeight="1">
      <c r="A569" s="9"/>
    </row>
    <row r="570" spans="1:1" ht="14.25" customHeight="1">
      <c r="A570" s="9"/>
    </row>
    <row r="571" spans="1:1" ht="14.25" customHeight="1">
      <c r="A571" s="9"/>
    </row>
    <row r="572" spans="1:1" ht="14.25" customHeight="1">
      <c r="A572" s="9"/>
    </row>
    <row r="573" spans="1:1" ht="14.25" customHeight="1">
      <c r="A573" s="9"/>
    </row>
    <row r="574" spans="1:1" ht="14.25" customHeight="1">
      <c r="A574" s="9"/>
    </row>
    <row r="575" spans="1:1" ht="14.25" customHeight="1">
      <c r="A575" s="9"/>
    </row>
    <row r="576" spans="1:1" ht="14.25" customHeight="1">
      <c r="A576" s="9"/>
    </row>
    <row r="577" spans="1:1" ht="14.25" customHeight="1">
      <c r="A577" s="9"/>
    </row>
    <row r="578" spans="1:1" ht="14.25" customHeight="1">
      <c r="A578" s="9"/>
    </row>
    <row r="579" spans="1:1" ht="14.25" customHeight="1">
      <c r="A579" s="9"/>
    </row>
    <row r="580" spans="1:1" ht="14.25" customHeight="1">
      <c r="A580" s="9"/>
    </row>
    <row r="581" spans="1:1" ht="14.25" customHeight="1">
      <c r="A581" s="9"/>
    </row>
    <row r="582" spans="1:1" ht="14.25" customHeight="1">
      <c r="A582" s="9"/>
    </row>
    <row r="583" spans="1:1" ht="14.25" customHeight="1">
      <c r="A583" s="9"/>
    </row>
    <row r="584" spans="1:1" ht="14.25" customHeight="1">
      <c r="A584" s="9"/>
    </row>
    <row r="585" spans="1:1" ht="14.25" customHeight="1">
      <c r="A585" s="9"/>
    </row>
    <row r="586" spans="1:1" ht="14.25" customHeight="1">
      <c r="A586" s="9"/>
    </row>
    <row r="587" spans="1:1" ht="14.25" customHeight="1">
      <c r="A587" s="9"/>
    </row>
    <row r="588" spans="1:1" ht="14.25" customHeight="1">
      <c r="A588" s="9"/>
    </row>
    <row r="589" spans="1:1" ht="14.25" customHeight="1">
      <c r="A589" s="9"/>
    </row>
    <row r="590" spans="1:1" ht="14.25" customHeight="1">
      <c r="A590" s="9"/>
    </row>
    <row r="591" spans="1:1" ht="14.25" customHeight="1">
      <c r="A591" s="9"/>
    </row>
    <row r="592" spans="1:1" ht="14.25" customHeight="1">
      <c r="A592" s="9"/>
    </row>
    <row r="593" spans="1:1" ht="14.25" customHeight="1">
      <c r="A593" s="9"/>
    </row>
    <row r="594" spans="1:1" ht="14.25" customHeight="1">
      <c r="A594" s="9"/>
    </row>
    <row r="595" spans="1:1" ht="14.25" customHeight="1">
      <c r="A595" s="9"/>
    </row>
    <row r="596" spans="1:1" ht="14.25" customHeight="1">
      <c r="A596" s="9"/>
    </row>
    <row r="597" spans="1:1" ht="14.25" customHeight="1">
      <c r="A597" s="9"/>
    </row>
    <row r="598" spans="1:1" ht="14.25" customHeight="1">
      <c r="A598" s="9"/>
    </row>
    <row r="599" spans="1:1" ht="14.25" customHeight="1">
      <c r="A599" s="9"/>
    </row>
    <row r="600" spans="1:1" ht="14.25" customHeight="1">
      <c r="A600" s="9"/>
    </row>
    <row r="601" spans="1:1" ht="14.25" customHeight="1">
      <c r="A601" s="9"/>
    </row>
    <row r="602" spans="1:1" ht="14.25" customHeight="1">
      <c r="A602" s="9"/>
    </row>
    <row r="603" spans="1:1" ht="14.25" customHeight="1">
      <c r="A603" s="9"/>
    </row>
    <row r="604" spans="1:1" ht="14.25" customHeight="1">
      <c r="A604" s="9"/>
    </row>
    <row r="605" spans="1:1" ht="14.25" customHeight="1">
      <c r="A605" s="9"/>
    </row>
    <row r="606" spans="1:1" ht="14.25" customHeight="1">
      <c r="A606" s="9"/>
    </row>
    <row r="607" spans="1:1" ht="14.25" customHeight="1">
      <c r="A607" s="9"/>
    </row>
    <row r="608" spans="1:1" ht="14.25" customHeight="1">
      <c r="A608" s="9"/>
    </row>
    <row r="609" spans="1:1" ht="14.25" customHeight="1">
      <c r="A609" s="9"/>
    </row>
    <row r="610" spans="1:1" ht="14.25" customHeight="1">
      <c r="A610" s="9"/>
    </row>
    <row r="611" spans="1:1" ht="14.25" customHeight="1">
      <c r="A611" s="9"/>
    </row>
    <row r="612" spans="1:1" ht="14.25" customHeight="1">
      <c r="A612" s="9"/>
    </row>
    <row r="613" spans="1:1" ht="14.25" customHeight="1">
      <c r="A613" s="9"/>
    </row>
    <row r="614" spans="1:1" ht="14.25" customHeight="1">
      <c r="A614" s="9"/>
    </row>
    <row r="615" spans="1:1" ht="14.25" customHeight="1">
      <c r="A615" s="9"/>
    </row>
    <row r="616" spans="1:1" ht="14.25" customHeight="1">
      <c r="A616" s="9"/>
    </row>
    <row r="617" spans="1:1" ht="14.25" customHeight="1">
      <c r="A617" s="9"/>
    </row>
    <row r="618" spans="1:1" ht="14.25" customHeight="1">
      <c r="A618" s="9"/>
    </row>
    <row r="619" spans="1:1" ht="14.25" customHeight="1">
      <c r="A619" s="9"/>
    </row>
    <row r="620" spans="1:1" ht="14.25" customHeight="1">
      <c r="A620" s="9"/>
    </row>
    <row r="621" spans="1:1" ht="14.25" customHeight="1">
      <c r="A621" s="9"/>
    </row>
    <row r="622" spans="1:1" ht="14.25" customHeight="1">
      <c r="A622" s="9"/>
    </row>
    <row r="623" spans="1:1" ht="14.25" customHeight="1">
      <c r="A623" s="9"/>
    </row>
    <row r="624" spans="1:1" ht="14.25" customHeight="1">
      <c r="A624" s="9"/>
    </row>
    <row r="625" spans="1:1" ht="14.25" customHeight="1">
      <c r="A625" s="9"/>
    </row>
    <row r="626" spans="1:1" ht="14.25" customHeight="1">
      <c r="A626" s="9"/>
    </row>
    <row r="627" spans="1:1" ht="14.25" customHeight="1">
      <c r="A627" s="9"/>
    </row>
    <row r="628" spans="1:1" ht="14.25" customHeight="1">
      <c r="A628" s="9"/>
    </row>
    <row r="629" spans="1:1" ht="14.25" customHeight="1">
      <c r="A629" s="9"/>
    </row>
    <row r="630" spans="1:1" ht="14.25" customHeight="1">
      <c r="A630" s="9"/>
    </row>
    <row r="631" spans="1:1" ht="14.25" customHeight="1">
      <c r="A631" s="9"/>
    </row>
    <row r="632" spans="1:1" ht="14.25" customHeight="1">
      <c r="A632" s="9"/>
    </row>
    <row r="633" spans="1:1" ht="14.25" customHeight="1">
      <c r="A633" s="9"/>
    </row>
    <row r="634" spans="1:1" ht="14.25" customHeight="1">
      <c r="A634" s="9"/>
    </row>
    <row r="635" spans="1:1" ht="14.25" customHeight="1">
      <c r="A635" s="9"/>
    </row>
    <row r="636" spans="1:1" ht="14.25" customHeight="1">
      <c r="A636" s="9"/>
    </row>
    <row r="637" spans="1:1" ht="14.25" customHeight="1">
      <c r="A637" s="9"/>
    </row>
    <row r="638" spans="1:1" ht="14.25" customHeight="1">
      <c r="A638" s="9"/>
    </row>
    <row r="639" spans="1:1" ht="14.25" customHeight="1">
      <c r="A639" s="9"/>
    </row>
    <row r="640" spans="1:1" ht="14.25" customHeight="1">
      <c r="A640" s="9"/>
    </row>
    <row r="641" spans="1:1" ht="14.25" customHeight="1">
      <c r="A641" s="9"/>
    </row>
    <row r="642" spans="1:1" ht="14.25" customHeight="1">
      <c r="A642" s="9"/>
    </row>
    <row r="643" spans="1:1" ht="14.25" customHeight="1">
      <c r="A643" s="9"/>
    </row>
    <row r="644" spans="1:1" ht="14.25" customHeight="1">
      <c r="A644" s="9"/>
    </row>
    <row r="645" spans="1:1" ht="14.25" customHeight="1">
      <c r="A645" s="9"/>
    </row>
    <row r="646" spans="1:1" ht="14.25" customHeight="1">
      <c r="A646" s="9"/>
    </row>
    <row r="647" spans="1:1" ht="14.25" customHeight="1">
      <c r="A647" s="9"/>
    </row>
    <row r="648" spans="1:1" ht="14.25" customHeight="1">
      <c r="A648" s="9"/>
    </row>
    <row r="649" spans="1:1" ht="14.25" customHeight="1">
      <c r="A649" s="9"/>
    </row>
    <row r="650" spans="1:1" ht="14.25" customHeight="1">
      <c r="A650" s="9"/>
    </row>
    <row r="651" spans="1:1" ht="14.25" customHeight="1">
      <c r="A651" s="9"/>
    </row>
    <row r="652" spans="1:1" ht="14.25" customHeight="1">
      <c r="A652" s="9"/>
    </row>
    <row r="653" spans="1:1" ht="14.25" customHeight="1">
      <c r="A653" s="9"/>
    </row>
    <row r="654" spans="1:1" ht="14.25" customHeight="1">
      <c r="A654" s="9"/>
    </row>
    <row r="655" spans="1:1" ht="14.25" customHeight="1">
      <c r="A655" s="9"/>
    </row>
    <row r="656" spans="1:1" ht="14.25" customHeight="1">
      <c r="A656" s="9"/>
    </row>
    <row r="657" spans="1:1" ht="14.25" customHeight="1">
      <c r="A657" s="9"/>
    </row>
    <row r="658" spans="1:1" ht="14.25" customHeight="1">
      <c r="A658" s="9"/>
    </row>
    <row r="659" spans="1:1" ht="14.25" customHeight="1">
      <c r="A659" s="9"/>
    </row>
    <row r="660" spans="1:1" ht="14.25" customHeight="1">
      <c r="A660" s="9"/>
    </row>
    <row r="661" spans="1:1" ht="14.25" customHeight="1">
      <c r="A661" s="9"/>
    </row>
    <row r="662" spans="1:1" ht="14.25" customHeight="1">
      <c r="A662" s="9"/>
    </row>
    <row r="663" spans="1:1" ht="14.25" customHeight="1">
      <c r="A663" s="9"/>
    </row>
    <row r="664" spans="1:1" ht="14.25" customHeight="1">
      <c r="A664" s="9"/>
    </row>
    <row r="665" spans="1:1" ht="14.25" customHeight="1">
      <c r="A665" s="9"/>
    </row>
    <row r="666" spans="1:1" ht="14.25" customHeight="1">
      <c r="A666" s="9"/>
    </row>
    <row r="667" spans="1:1" ht="14.25" customHeight="1">
      <c r="A667" s="9"/>
    </row>
    <row r="668" spans="1:1" ht="14.25" customHeight="1">
      <c r="A668" s="9"/>
    </row>
    <row r="669" spans="1:1" ht="14.25" customHeight="1">
      <c r="A669" s="9"/>
    </row>
    <row r="670" spans="1:1" ht="14.25" customHeight="1">
      <c r="A670" s="9"/>
    </row>
    <row r="671" spans="1:1" ht="14.25" customHeight="1">
      <c r="A671" s="9"/>
    </row>
    <row r="672" spans="1:1" ht="14.25" customHeight="1">
      <c r="A672" s="9"/>
    </row>
    <row r="673" spans="1:1" ht="14.25" customHeight="1">
      <c r="A673" s="9"/>
    </row>
    <row r="674" spans="1:1" ht="14.25" customHeight="1">
      <c r="A674" s="9"/>
    </row>
    <row r="675" spans="1:1" ht="14.25" customHeight="1">
      <c r="A675" s="9"/>
    </row>
    <row r="676" spans="1:1" ht="14.25" customHeight="1">
      <c r="A676" s="9"/>
    </row>
    <row r="677" spans="1:1" ht="14.25" customHeight="1">
      <c r="A677" s="9"/>
    </row>
    <row r="678" spans="1:1" ht="14.25" customHeight="1">
      <c r="A678" s="9"/>
    </row>
    <row r="679" spans="1:1" ht="14.25" customHeight="1">
      <c r="A679" s="9"/>
    </row>
    <row r="680" spans="1:1" ht="14.25" customHeight="1">
      <c r="A680" s="9"/>
    </row>
    <row r="681" spans="1:1" ht="14.25" customHeight="1">
      <c r="A681" s="9"/>
    </row>
    <row r="682" spans="1:1" ht="14.25" customHeight="1">
      <c r="A682" s="9"/>
    </row>
    <row r="683" spans="1:1" ht="14.25" customHeight="1">
      <c r="A683" s="9"/>
    </row>
    <row r="684" spans="1:1" ht="14.25" customHeight="1">
      <c r="A684" s="9"/>
    </row>
    <row r="685" spans="1:1" ht="14.25" customHeight="1">
      <c r="A685" s="9"/>
    </row>
    <row r="686" spans="1:1" ht="14.25" customHeight="1">
      <c r="A686" s="9"/>
    </row>
    <row r="687" spans="1:1" ht="14.25" customHeight="1">
      <c r="A687" s="9"/>
    </row>
    <row r="688" spans="1:1" ht="14.25" customHeight="1">
      <c r="A688" s="9"/>
    </row>
    <row r="689" spans="1:1" ht="14.25" customHeight="1">
      <c r="A689" s="9"/>
    </row>
    <row r="690" spans="1:1" ht="14.25" customHeight="1">
      <c r="A690" s="9"/>
    </row>
    <row r="691" spans="1:1" ht="14.25" customHeight="1">
      <c r="A691" s="9"/>
    </row>
    <row r="692" spans="1:1" ht="14.25" customHeight="1">
      <c r="A692" s="9"/>
    </row>
    <row r="693" spans="1:1" ht="14.25" customHeight="1">
      <c r="A693" s="9"/>
    </row>
    <row r="694" spans="1:1" ht="14.25" customHeight="1">
      <c r="A694" s="9"/>
    </row>
    <row r="695" spans="1:1" ht="14.25" customHeight="1">
      <c r="A695" s="9"/>
    </row>
    <row r="696" spans="1:1" ht="14.25" customHeight="1">
      <c r="A696" s="9"/>
    </row>
    <row r="697" spans="1:1" ht="14.25" customHeight="1">
      <c r="A697" s="9"/>
    </row>
    <row r="698" spans="1:1" ht="14.25" customHeight="1">
      <c r="A698" s="9"/>
    </row>
    <row r="699" spans="1:1" ht="14.25" customHeight="1">
      <c r="A699" s="9"/>
    </row>
    <row r="700" spans="1:1" ht="14.25" customHeight="1">
      <c r="A700" s="9"/>
    </row>
    <row r="701" spans="1:1" ht="14.25" customHeight="1">
      <c r="A701" s="9"/>
    </row>
    <row r="702" spans="1:1" ht="14.25" customHeight="1">
      <c r="A702" s="9"/>
    </row>
    <row r="703" spans="1:1" ht="14.25" customHeight="1">
      <c r="A703" s="9"/>
    </row>
    <row r="704" spans="1:1" ht="14.25" customHeight="1">
      <c r="A704" s="9"/>
    </row>
    <row r="705" spans="1:1" ht="14.25" customHeight="1">
      <c r="A705" s="9"/>
    </row>
    <row r="706" spans="1:1" ht="14.25" customHeight="1">
      <c r="A706" s="9"/>
    </row>
    <row r="707" spans="1:1" ht="14.25" customHeight="1">
      <c r="A707" s="9"/>
    </row>
    <row r="708" spans="1:1" ht="14.25" customHeight="1">
      <c r="A708" s="9"/>
    </row>
    <row r="709" spans="1:1" ht="14.25" customHeight="1">
      <c r="A709" s="9"/>
    </row>
    <row r="710" spans="1:1" ht="14.25" customHeight="1">
      <c r="A710" s="9"/>
    </row>
    <row r="711" spans="1:1" ht="14.25" customHeight="1">
      <c r="A711" s="9"/>
    </row>
    <row r="712" spans="1:1" ht="14.25" customHeight="1">
      <c r="A712" s="9"/>
    </row>
    <row r="713" spans="1:1" ht="14.25" customHeight="1">
      <c r="A713" s="9"/>
    </row>
    <row r="714" spans="1:1" ht="14.25" customHeight="1">
      <c r="A714" s="9"/>
    </row>
    <row r="715" spans="1:1" ht="14.25" customHeight="1">
      <c r="A715" s="9"/>
    </row>
    <row r="716" spans="1:1" ht="14.25" customHeight="1">
      <c r="A716" s="9"/>
    </row>
    <row r="717" spans="1:1" ht="14.25" customHeight="1">
      <c r="A717" s="9"/>
    </row>
    <row r="718" spans="1:1" ht="14.25" customHeight="1">
      <c r="A718" s="9"/>
    </row>
    <row r="719" spans="1:1" ht="14.25" customHeight="1">
      <c r="A719" s="9"/>
    </row>
    <row r="720" spans="1:1" ht="14.25" customHeight="1">
      <c r="A720" s="9"/>
    </row>
    <row r="721" spans="1:1" ht="14.25" customHeight="1">
      <c r="A721" s="9"/>
    </row>
    <row r="722" spans="1:1" ht="14.25" customHeight="1">
      <c r="A722" s="9"/>
    </row>
    <row r="723" spans="1:1" ht="14.25" customHeight="1">
      <c r="A723" s="9"/>
    </row>
    <row r="724" spans="1:1" ht="14.25" customHeight="1">
      <c r="A724" s="9"/>
    </row>
    <row r="725" spans="1:1" ht="14.25" customHeight="1">
      <c r="A725" s="9"/>
    </row>
    <row r="726" spans="1:1" ht="14.25" customHeight="1">
      <c r="A726" s="9"/>
    </row>
    <row r="727" spans="1:1" ht="14.25" customHeight="1">
      <c r="A727" s="9"/>
    </row>
    <row r="728" spans="1:1" ht="14.25" customHeight="1">
      <c r="A728" s="9"/>
    </row>
    <row r="729" spans="1:1" ht="14.25" customHeight="1">
      <c r="A729" s="9"/>
    </row>
    <row r="730" spans="1:1" ht="14.25" customHeight="1">
      <c r="A730" s="9"/>
    </row>
    <row r="731" spans="1:1" ht="14.25" customHeight="1">
      <c r="A731" s="9"/>
    </row>
    <row r="732" spans="1:1" ht="14.25" customHeight="1">
      <c r="A732" s="9"/>
    </row>
    <row r="733" spans="1:1" ht="14.25" customHeight="1">
      <c r="A733" s="9"/>
    </row>
    <row r="734" spans="1:1" ht="14.25" customHeight="1">
      <c r="A734" s="9"/>
    </row>
    <row r="735" spans="1:1" ht="14.25" customHeight="1">
      <c r="A735" s="9"/>
    </row>
    <row r="736" spans="1:1" ht="14.25" customHeight="1">
      <c r="A736" s="9"/>
    </row>
    <row r="737" spans="1:1" ht="14.25" customHeight="1">
      <c r="A737" s="9"/>
    </row>
    <row r="738" spans="1:1" ht="14.25" customHeight="1">
      <c r="A738" s="9"/>
    </row>
    <row r="739" spans="1:1" ht="14.25" customHeight="1">
      <c r="A739" s="9"/>
    </row>
    <row r="740" spans="1:1" ht="14.25" customHeight="1">
      <c r="A740" s="9"/>
    </row>
    <row r="741" spans="1:1" ht="14.25" customHeight="1">
      <c r="A741" s="9"/>
    </row>
    <row r="742" spans="1:1" ht="14.25" customHeight="1">
      <c r="A742" s="9"/>
    </row>
    <row r="743" spans="1:1" ht="14.25" customHeight="1">
      <c r="A743" s="9"/>
    </row>
    <row r="744" spans="1:1" ht="14.25" customHeight="1">
      <c r="A744" s="9"/>
    </row>
    <row r="745" spans="1:1" ht="14.25" customHeight="1">
      <c r="A745" s="9"/>
    </row>
    <row r="746" spans="1:1" ht="14.25" customHeight="1">
      <c r="A746" s="9"/>
    </row>
    <row r="747" spans="1:1" ht="14.25" customHeight="1">
      <c r="A747" s="9"/>
    </row>
    <row r="748" spans="1:1" ht="14.25" customHeight="1">
      <c r="A748" s="9"/>
    </row>
    <row r="749" spans="1:1" ht="14.25" customHeight="1">
      <c r="A749" s="9"/>
    </row>
    <row r="750" spans="1:1" ht="14.25" customHeight="1">
      <c r="A750" s="9"/>
    </row>
    <row r="751" spans="1:1" ht="14.25" customHeight="1">
      <c r="A751" s="9"/>
    </row>
    <row r="752" spans="1:1" ht="14.25" customHeight="1">
      <c r="A752" s="9"/>
    </row>
    <row r="753" spans="1:1" ht="14.25" customHeight="1">
      <c r="A753" s="9"/>
    </row>
    <row r="754" spans="1:1" ht="14.25" customHeight="1">
      <c r="A754" s="9"/>
    </row>
    <row r="755" spans="1:1" ht="14.25" customHeight="1">
      <c r="A755" s="9"/>
    </row>
    <row r="756" spans="1:1" ht="14.25" customHeight="1">
      <c r="A756" s="9"/>
    </row>
    <row r="757" spans="1:1" ht="14.25" customHeight="1">
      <c r="A757" s="9"/>
    </row>
    <row r="758" spans="1:1" ht="14.25" customHeight="1">
      <c r="A758" s="9"/>
    </row>
    <row r="759" spans="1:1" ht="14.25" customHeight="1">
      <c r="A759" s="9"/>
    </row>
    <row r="760" spans="1:1" ht="14.25" customHeight="1">
      <c r="A760" s="9"/>
    </row>
    <row r="761" spans="1:1" ht="14.25" customHeight="1">
      <c r="A761" s="9"/>
    </row>
    <row r="762" spans="1:1" ht="14.25" customHeight="1">
      <c r="A762" s="9"/>
    </row>
    <row r="763" spans="1:1" ht="14.25" customHeight="1">
      <c r="A763" s="9"/>
    </row>
    <row r="764" spans="1:1" ht="14.25" customHeight="1">
      <c r="A764" s="9"/>
    </row>
    <row r="765" spans="1:1" ht="14.25" customHeight="1">
      <c r="A765" s="9"/>
    </row>
    <row r="766" spans="1:1" ht="14.25" customHeight="1">
      <c r="A766" s="9"/>
    </row>
    <row r="767" spans="1:1" ht="14.25" customHeight="1">
      <c r="A767" s="9"/>
    </row>
    <row r="768" spans="1:1" ht="14.25" customHeight="1">
      <c r="A768" s="9"/>
    </row>
    <row r="769" spans="1:1" ht="14.25" customHeight="1">
      <c r="A769" s="9"/>
    </row>
    <row r="770" spans="1:1" ht="14.25" customHeight="1">
      <c r="A770" s="9"/>
    </row>
    <row r="771" spans="1:1" ht="14.25" customHeight="1">
      <c r="A771" s="9"/>
    </row>
    <row r="772" spans="1:1" ht="14.25" customHeight="1">
      <c r="A772" s="9"/>
    </row>
    <row r="773" spans="1:1" ht="14.25" customHeight="1">
      <c r="A773" s="9"/>
    </row>
    <row r="774" spans="1:1" ht="14.25" customHeight="1">
      <c r="A774" s="9"/>
    </row>
    <row r="775" spans="1:1" ht="14.25" customHeight="1">
      <c r="A775" s="9"/>
    </row>
    <row r="776" spans="1:1" ht="14.25" customHeight="1">
      <c r="A776" s="9"/>
    </row>
    <row r="777" spans="1:1" ht="14.25" customHeight="1">
      <c r="A777" s="9"/>
    </row>
    <row r="778" spans="1:1" ht="14.25" customHeight="1">
      <c r="A778" s="9"/>
    </row>
    <row r="779" spans="1:1" ht="14.25" customHeight="1">
      <c r="A779" s="9"/>
    </row>
    <row r="780" spans="1:1" ht="14.25" customHeight="1">
      <c r="A780" s="9"/>
    </row>
    <row r="781" spans="1:1" ht="14.25" customHeight="1">
      <c r="A781" s="9"/>
    </row>
    <row r="782" spans="1:1" ht="14.25" customHeight="1">
      <c r="A782" s="9"/>
    </row>
    <row r="783" spans="1:1" ht="14.25" customHeight="1">
      <c r="A783" s="9"/>
    </row>
    <row r="784" spans="1:1" ht="14.25" customHeight="1">
      <c r="A784" s="9"/>
    </row>
    <row r="785" spans="1:1" ht="14.25" customHeight="1">
      <c r="A785" s="9"/>
    </row>
    <row r="786" spans="1:1" ht="14.25" customHeight="1">
      <c r="A786" s="9"/>
    </row>
    <row r="787" spans="1:1" ht="14.25" customHeight="1">
      <c r="A787" s="9"/>
    </row>
    <row r="788" spans="1:1" ht="14.25" customHeight="1">
      <c r="A788" s="9"/>
    </row>
    <row r="789" spans="1:1" ht="14.25" customHeight="1">
      <c r="A789" s="9"/>
    </row>
    <row r="790" spans="1:1" ht="14.25" customHeight="1">
      <c r="A790" s="9"/>
    </row>
    <row r="791" spans="1:1" ht="14.25" customHeight="1">
      <c r="A791" s="9"/>
    </row>
    <row r="792" spans="1:1" ht="14.25" customHeight="1">
      <c r="A792" s="9"/>
    </row>
    <row r="793" spans="1:1" ht="14.25" customHeight="1">
      <c r="A793" s="9"/>
    </row>
    <row r="794" spans="1:1" ht="14.25" customHeight="1">
      <c r="A794" s="9"/>
    </row>
    <row r="795" spans="1:1" ht="14.25" customHeight="1">
      <c r="A795" s="9"/>
    </row>
    <row r="796" spans="1:1" ht="14.25" customHeight="1">
      <c r="A796" s="9"/>
    </row>
    <row r="797" spans="1:1" ht="14.25" customHeight="1">
      <c r="A797" s="9"/>
    </row>
    <row r="798" spans="1:1" ht="14.25" customHeight="1">
      <c r="A798" s="9"/>
    </row>
    <row r="799" spans="1:1" ht="14.25" customHeight="1">
      <c r="A799" s="9"/>
    </row>
    <row r="800" spans="1:1" ht="14.25" customHeight="1">
      <c r="A800" s="9"/>
    </row>
    <row r="801" spans="1:1" ht="14.25" customHeight="1">
      <c r="A801" s="9"/>
    </row>
    <row r="802" spans="1:1" ht="14.25" customHeight="1">
      <c r="A802" s="9"/>
    </row>
    <row r="803" spans="1:1" ht="14.25" customHeight="1">
      <c r="A803" s="9"/>
    </row>
    <row r="804" spans="1:1" ht="14.25" customHeight="1">
      <c r="A804" s="9"/>
    </row>
    <row r="805" spans="1:1" ht="14.25" customHeight="1">
      <c r="A805" s="9"/>
    </row>
    <row r="806" spans="1:1" ht="14.25" customHeight="1">
      <c r="A806" s="9"/>
    </row>
    <row r="807" spans="1:1" ht="14.25" customHeight="1">
      <c r="A807" s="9"/>
    </row>
    <row r="808" spans="1:1" ht="14.25" customHeight="1">
      <c r="A808" s="9"/>
    </row>
    <row r="809" spans="1:1" ht="14.25" customHeight="1">
      <c r="A809" s="9"/>
    </row>
    <row r="810" spans="1:1" ht="14.25" customHeight="1">
      <c r="A810" s="9"/>
    </row>
    <row r="811" spans="1:1" ht="14.25" customHeight="1">
      <c r="A811" s="9"/>
    </row>
    <row r="812" spans="1:1" ht="14.25" customHeight="1">
      <c r="A812" s="9"/>
    </row>
    <row r="813" spans="1:1" ht="14.25" customHeight="1">
      <c r="A813" s="9"/>
    </row>
    <row r="814" spans="1:1" ht="14.25" customHeight="1">
      <c r="A814" s="9"/>
    </row>
    <row r="815" spans="1:1" ht="14.25" customHeight="1">
      <c r="A815" s="9"/>
    </row>
    <row r="816" spans="1:1" ht="14.25" customHeight="1">
      <c r="A816" s="9"/>
    </row>
    <row r="817" spans="1:1" ht="14.25" customHeight="1">
      <c r="A817" s="9"/>
    </row>
    <row r="818" spans="1:1" ht="14.25" customHeight="1">
      <c r="A818" s="9"/>
    </row>
    <row r="819" spans="1:1" ht="14.25" customHeight="1">
      <c r="A819" s="9"/>
    </row>
    <row r="820" spans="1:1" ht="14.25" customHeight="1">
      <c r="A820" s="9"/>
    </row>
    <row r="821" spans="1:1" ht="14.25" customHeight="1">
      <c r="A821" s="9"/>
    </row>
    <row r="822" spans="1:1" ht="14.25" customHeight="1">
      <c r="A822" s="9"/>
    </row>
    <row r="823" spans="1:1" ht="14.25" customHeight="1">
      <c r="A823" s="9"/>
    </row>
    <row r="824" spans="1:1" ht="14.25" customHeight="1">
      <c r="A824" s="9"/>
    </row>
    <row r="825" spans="1:1" ht="14.25" customHeight="1">
      <c r="A825" s="9"/>
    </row>
    <row r="826" spans="1:1" ht="14.25" customHeight="1">
      <c r="A826" s="9"/>
    </row>
    <row r="827" spans="1:1" ht="14.25" customHeight="1">
      <c r="A827" s="9"/>
    </row>
    <row r="828" spans="1:1" ht="14.25" customHeight="1">
      <c r="A828" s="9"/>
    </row>
    <row r="829" spans="1:1" ht="14.25" customHeight="1">
      <c r="A829" s="9"/>
    </row>
    <row r="830" spans="1:1" ht="14.25" customHeight="1">
      <c r="A830" s="9"/>
    </row>
    <row r="831" spans="1:1" ht="14.25" customHeight="1">
      <c r="A831" s="9"/>
    </row>
    <row r="832" spans="1:1" ht="14.25" customHeight="1">
      <c r="A832" s="9"/>
    </row>
    <row r="833" spans="1:1" ht="14.25" customHeight="1">
      <c r="A833" s="9"/>
    </row>
    <row r="834" spans="1:1" ht="14.25" customHeight="1">
      <c r="A834" s="9"/>
    </row>
    <row r="835" spans="1:1" ht="14.25" customHeight="1">
      <c r="A835" s="9"/>
    </row>
    <row r="836" spans="1:1" ht="14.25" customHeight="1">
      <c r="A836" s="9"/>
    </row>
    <row r="837" spans="1:1" ht="14.25" customHeight="1">
      <c r="A837" s="9"/>
    </row>
    <row r="838" spans="1:1" ht="14.25" customHeight="1">
      <c r="A838" s="9"/>
    </row>
    <row r="839" spans="1:1" ht="14.25" customHeight="1">
      <c r="A839" s="9"/>
    </row>
    <row r="840" spans="1:1" ht="14.25" customHeight="1">
      <c r="A840" s="9"/>
    </row>
    <row r="841" spans="1:1" ht="14.25" customHeight="1">
      <c r="A841" s="9"/>
    </row>
    <row r="842" spans="1:1" ht="14.25" customHeight="1">
      <c r="A842" s="9"/>
    </row>
    <row r="843" spans="1:1" ht="14.25" customHeight="1">
      <c r="A843" s="9"/>
    </row>
    <row r="844" spans="1:1" ht="14.25" customHeight="1">
      <c r="A844" s="9"/>
    </row>
    <row r="845" spans="1:1" ht="14.25" customHeight="1">
      <c r="A845" s="9"/>
    </row>
    <row r="846" spans="1:1" ht="14.25" customHeight="1">
      <c r="A846" s="9"/>
    </row>
    <row r="847" spans="1:1" ht="14.25" customHeight="1">
      <c r="A847" s="9"/>
    </row>
    <row r="848" spans="1:1" ht="14.25" customHeight="1">
      <c r="A848" s="9"/>
    </row>
    <row r="849" spans="1:1" ht="14.25" customHeight="1">
      <c r="A849" s="9"/>
    </row>
    <row r="850" spans="1:1" ht="14.25" customHeight="1">
      <c r="A850" s="9"/>
    </row>
    <row r="851" spans="1:1" ht="14.25" customHeight="1">
      <c r="A851" s="9"/>
    </row>
    <row r="852" spans="1:1" ht="14.25" customHeight="1">
      <c r="A852" s="9"/>
    </row>
    <row r="853" spans="1:1" ht="14.25" customHeight="1">
      <c r="A853" s="9"/>
    </row>
    <row r="854" spans="1:1" ht="14.25" customHeight="1">
      <c r="A854" s="9"/>
    </row>
    <row r="855" spans="1:1" ht="14.25" customHeight="1">
      <c r="A855" s="9"/>
    </row>
    <row r="856" spans="1:1" ht="14.25" customHeight="1">
      <c r="A856" s="9"/>
    </row>
    <row r="857" spans="1:1" ht="14.25" customHeight="1">
      <c r="A857" s="9"/>
    </row>
    <row r="858" spans="1:1" ht="14.25" customHeight="1">
      <c r="A858" s="9"/>
    </row>
    <row r="859" spans="1:1" ht="14.25" customHeight="1">
      <c r="A859" s="9"/>
    </row>
    <row r="860" spans="1:1" ht="14.25" customHeight="1">
      <c r="A860" s="9"/>
    </row>
    <row r="861" spans="1:1" ht="14.25" customHeight="1">
      <c r="A861" s="9"/>
    </row>
    <row r="862" spans="1:1" ht="14.25" customHeight="1">
      <c r="A862" s="9"/>
    </row>
    <row r="863" spans="1:1" ht="14.25" customHeight="1">
      <c r="A863" s="9"/>
    </row>
    <row r="864" spans="1:1" ht="14.25" customHeight="1">
      <c r="A864" s="9"/>
    </row>
    <row r="865" spans="1:1" ht="14.25" customHeight="1">
      <c r="A865" s="9"/>
    </row>
    <row r="866" spans="1:1" ht="14.25" customHeight="1">
      <c r="A866" s="9"/>
    </row>
    <row r="867" spans="1:1" ht="14.25" customHeight="1">
      <c r="A867" s="9"/>
    </row>
    <row r="868" spans="1:1" ht="14.25" customHeight="1">
      <c r="A868" s="9"/>
    </row>
    <row r="869" spans="1:1" ht="14.25" customHeight="1">
      <c r="A869" s="9"/>
    </row>
    <row r="870" spans="1:1" ht="14.25" customHeight="1">
      <c r="A870" s="9"/>
    </row>
    <row r="871" spans="1:1" ht="14.25" customHeight="1">
      <c r="A871" s="9"/>
    </row>
    <row r="872" spans="1:1" ht="14.25" customHeight="1">
      <c r="A872" s="9"/>
    </row>
    <row r="873" spans="1:1" ht="14.25" customHeight="1">
      <c r="A873" s="9"/>
    </row>
    <row r="874" spans="1:1" ht="14.25" customHeight="1">
      <c r="A874" s="9"/>
    </row>
    <row r="875" spans="1:1" ht="14.25" customHeight="1">
      <c r="A875" s="9"/>
    </row>
    <row r="876" spans="1:1" ht="14.25" customHeight="1">
      <c r="A876" s="9"/>
    </row>
    <row r="877" spans="1:1" ht="14.25" customHeight="1">
      <c r="A877" s="9"/>
    </row>
    <row r="878" spans="1:1" ht="14.25" customHeight="1">
      <c r="A878" s="9"/>
    </row>
    <row r="879" spans="1:1" ht="14.25" customHeight="1">
      <c r="A879" s="9"/>
    </row>
    <row r="880" spans="1:1" ht="14.25" customHeight="1">
      <c r="A880" s="9"/>
    </row>
    <row r="881" spans="1:1" ht="14.25" customHeight="1">
      <c r="A881" s="9"/>
    </row>
    <row r="882" spans="1:1" ht="14.25" customHeight="1">
      <c r="A882" s="9"/>
    </row>
    <row r="883" spans="1:1" ht="14.25" customHeight="1">
      <c r="A883" s="9"/>
    </row>
    <row r="884" spans="1:1" ht="14.25" customHeight="1">
      <c r="A884" s="9"/>
    </row>
    <row r="885" spans="1:1" ht="14.25" customHeight="1">
      <c r="A885" s="9"/>
    </row>
    <row r="886" spans="1:1" ht="14.25" customHeight="1">
      <c r="A886" s="9"/>
    </row>
    <row r="887" spans="1:1" ht="14.25" customHeight="1">
      <c r="A887" s="9"/>
    </row>
    <row r="888" spans="1:1" ht="14.25" customHeight="1">
      <c r="A888" s="9"/>
    </row>
    <row r="889" spans="1:1" ht="14.25" customHeight="1">
      <c r="A889" s="9"/>
    </row>
    <row r="890" spans="1:1" ht="14.25" customHeight="1">
      <c r="A890" s="9"/>
    </row>
    <row r="891" spans="1:1" ht="14.25" customHeight="1">
      <c r="A891" s="9"/>
    </row>
    <row r="892" spans="1:1" ht="14.25" customHeight="1">
      <c r="A892" s="9"/>
    </row>
    <row r="893" spans="1:1" ht="14.25" customHeight="1">
      <c r="A893" s="9"/>
    </row>
    <row r="894" spans="1:1" ht="14.25" customHeight="1">
      <c r="A894" s="9"/>
    </row>
    <row r="895" spans="1:1" ht="14.25" customHeight="1">
      <c r="A895" s="9"/>
    </row>
    <row r="896" spans="1:1" ht="14.25" customHeight="1">
      <c r="A896" s="9"/>
    </row>
    <row r="897" spans="1:1" ht="14.25" customHeight="1">
      <c r="A897" s="9"/>
    </row>
    <row r="898" spans="1:1" ht="14.25" customHeight="1">
      <c r="A898" s="9"/>
    </row>
    <row r="899" spans="1:1" ht="14.25" customHeight="1">
      <c r="A899" s="9"/>
    </row>
    <row r="900" spans="1:1" ht="14.25" customHeight="1">
      <c r="A900" s="9"/>
    </row>
    <row r="901" spans="1:1" ht="14.25" customHeight="1">
      <c r="A901" s="9"/>
    </row>
    <row r="902" spans="1:1" ht="14.25" customHeight="1">
      <c r="A902" s="9"/>
    </row>
    <row r="903" spans="1:1" ht="14.25" customHeight="1">
      <c r="A903" s="9"/>
    </row>
    <row r="904" spans="1:1" ht="14.25" customHeight="1">
      <c r="A904" s="9"/>
    </row>
    <row r="905" spans="1:1" ht="14.25" customHeight="1">
      <c r="A905" s="9"/>
    </row>
    <row r="906" spans="1:1" ht="14.25" customHeight="1">
      <c r="A906" s="9"/>
    </row>
    <row r="907" spans="1:1" ht="14.25" customHeight="1">
      <c r="A907" s="9"/>
    </row>
    <row r="908" spans="1:1" ht="14.25" customHeight="1">
      <c r="A908" s="9"/>
    </row>
    <row r="909" spans="1:1" ht="14.25" customHeight="1">
      <c r="A909" s="9"/>
    </row>
    <row r="910" spans="1:1" ht="14.25" customHeight="1">
      <c r="A910" s="9"/>
    </row>
    <row r="911" spans="1:1" ht="14.25" customHeight="1">
      <c r="A911" s="9"/>
    </row>
    <row r="912" spans="1:1" ht="14.25" customHeight="1">
      <c r="A912" s="9"/>
    </row>
    <row r="913" spans="1:1" ht="14.25" customHeight="1">
      <c r="A913" s="9"/>
    </row>
    <row r="914" spans="1:1" ht="14.25" customHeight="1">
      <c r="A914" s="9"/>
    </row>
    <row r="915" spans="1:1" ht="14.25" customHeight="1">
      <c r="A915" s="9"/>
    </row>
    <row r="916" spans="1:1" ht="14.25" customHeight="1">
      <c r="A916" s="9"/>
    </row>
    <row r="917" spans="1:1" ht="14.25" customHeight="1">
      <c r="A917" s="9"/>
    </row>
    <row r="918" spans="1:1" ht="14.25" customHeight="1">
      <c r="A918" s="9"/>
    </row>
    <row r="919" spans="1:1" ht="14.25" customHeight="1">
      <c r="A919" s="9"/>
    </row>
    <row r="920" spans="1:1" ht="14.25" customHeight="1">
      <c r="A920" s="9"/>
    </row>
    <row r="921" spans="1:1" ht="14.25" customHeight="1">
      <c r="A921" s="9"/>
    </row>
    <row r="922" spans="1:1" ht="14.25" customHeight="1">
      <c r="A922" s="9"/>
    </row>
    <row r="923" spans="1:1" ht="14.25" customHeight="1">
      <c r="A923" s="9"/>
    </row>
    <row r="924" spans="1:1" ht="14.25" customHeight="1">
      <c r="A924" s="9"/>
    </row>
    <row r="925" spans="1:1" ht="14.25" customHeight="1">
      <c r="A925" s="9"/>
    </row>
    <row r="926" spans="1:1" ht="14.25" customHeight="1">
      <c r="A926" s="9"/>
    </row>
    <row r="927" spans="1:1" ht="14.25" customHeight="1">
      <c r="A927" s="9"/>
    </row>
    <row r="928" spans="1:1" ht="14.25" customHeight="1">
      <c r="A928" s="9"/>
    </row>
    <row r="929" spans="1:1" ht="14.25" customHeight="1">
      <c r="A929" s="9"/>
    </row>
    <row r="930" spans="1:1" ht="14.25" customHeight="1">
      <c r="A930" s="9"/>
    </row>
    <row r="931" spans="1:1" ht="14.25" customHeight="1">
      <c r="A931" s="9"/>
    </row>
    <row r="932" spans="1:1" ht="14.25" customHeight="1">
      <c r="A932" s="9"/>
    </row>
    <row r="933" spans="1:1" ht="14.25" customHeight="1">
      <c r="A933" s="9"/>
    </row>
    <row r="934" spans="1:1" ht="14.25" customHeight="1">
      <c r="A934" s="9"/>
    </row>
    <row r="935" spans="1:1" ht="14.25" customHeight="1">
      <c r="A935" s="9"/>
    </row>
    <row r="936" spans="1:1" ht="14.25" customHeight="1">
      <c r="A936" s="9"/>
    </row>
    <row r="937" spans="1:1" ht="14.25" customHeight="1">
      <c r="A937" s="9"/>
    </row>
    <row r="938" spans="1:1" ht="14.25" customHeight="1">
      <c r="A938" s="9"/>
    </row>
    <row r="939" spans="1:1" ht="14.25" customHeight="1">
      <c r="A939" s="9"/>
    </row>
    <row r="940" spans="1:1" ht="14.25" customHeight="1">
      <c r="A940" s="9"/>
    </row>
    <row r="941" spans="1:1" ht="14.25" customHeight="1">
      <c r="A941" s="9"/>
    </row>
    <row r="942" spans="1:1" ht="14.25" customHeight="1">
      <c r="A942" s="9"/>
    </row>
    <row r="943" spans="1:1" ht="14.25" customHeight="1">
      <c r="A943" s="9"/>
    </row>
    <row r="944" spans="1:1" ht="14.25" customHeight="1">
      <c r="A944" s="9"/>
    </row>
    <row r="945" spans="1:1" ht="14.25" customHeight="1">
      <c r="A945" s="9"/>
    </row>
    <row r="946" spans="1:1" ht="14.25" customHeight="1">
      <c r="A946" s="9"/>
    </row>
    <row r="947" spans="1:1" ht="14.25" customHeight="1">
      <c r="A947" s="9"/>
    </row>
    <row r="948" spans="1:1" ht="14.25" customHeight="1">
      <c r="A948" s="9"/>
    </row>
    <row r="949" spans="1:1" ht="14.25" customHeight="1">
      <c r="A949" s="9"/>
    </row>
    <row r="950" spans="1:1" ht="14.25" customHeight="1">
      <c r="A950" s="9"/>
    </row>
    <row r="951" spans="1:1" ht="14.25" customHeight="1">
      <c r="A951" s="9"/>
    </row>
    <row r="952" spans="1:1" ht="14.25" customHeight="1">
      <c r="A952" s="9"/>
    </row>
    <row r="953" spans="1:1" ht="14.25" customHeight="1">
      <c r="A953" s="9"/>
    </row>
    <row r="954" spans="1:1" ht="14.25" customHeight="1">
      <c r="A954" s="9"/>
    </row>
    <row r="955" spans="1:1" ht="14.25" customHeight="1">
      <c r="A955" s="9"/>
    </row>
    <row r="956" spans="1:1" ht="14.25" customHeight="1">
      <c r="A956" s="9"/>
    </row>
    <row r="957" spans="1:1" ht="14.25" customHeight="1">
      <c r="A957" s="9"/>
    </row>
    <row r="958" spans="1:1" ht="14.25" customHeight="1">
      <c r="A958" s="9"/>
    </row>
    <row r="959" spans="1:1" ht="14.25" customHeight="1">
      <c r="A959" s="9"/>
    </row>
    <row r="960" spans="1:1" ht="14.25" customHeight="1">
      <c r="A960" s="9"/>
    </row>
    <row r="961" spans="1:1" ht="14.25" customHeight="1">
      <c r="A961" s="9"/>
    </row>
    <row r="962" spans="1:1" ht="14.25" customHeight="1">
      <c r="A962" s="9"/>
    </row>
    <row r="963" spans="1:1" ht="14.25" customHeight="1">
      <c r="A963" s="9"/>
    </row>
    <row r="964" spans="1:1" ht="14.25" customHeight="1">
      <c r="A964" s="9"/>
    </row>
    <row r="965" spans="1:1" ht="14.25" customHeight="1">
      <c r="A965" s="9"/>
    </row>
    <row r="966" spans="1:1" ht="14.25" customHeight="1">
      <c r="A966" s="9"/>
    </row>
    <row r="967" spans="1:1" ht="14.25" customHeight="1">
      <c r="A967" s="9"/>
    </row>
    <row r="968" spans="1:1" ht="14.25" customHeight="1">
      <c r="A968" s="9"/>
    </row>
    <row r="969" spans="1:1" ht="14.25" customHeight="1">
      <c r="A969" s="9"/>
    </row>
    <row r="970" spans="1:1" ht="14.25" customHeight="1">
      <c r="A970" s="9"/>
    </row>
    <row r="971" spans="1:1" ht="14.25" customHeight="1">
      <c r="A971" s="9"/>
    </row>
    <row r="972" spans="1:1" ht="14.25" customHeight="1">
      <c r="A972" s="9"/>
    </row>
    <row r="973" spans="1:1" ht="14.25" customHeight="1">
      <c r="A973" s="9"/>
    </row>
    <row r="974" spans="1:1" ht="14.25" customHeight="1">
      <c r="A974" s="9"/>
    </row>
    <row r="975" spans="1:1" ht="14.25" customHeight="1">
      <c r="A975" s="9"/>
    </row>
    <row r="976" spans="1:1" ht="14.25" customHeight="1">
      <c r="A976" s="9"/>
    </row>
    <row r="977" spans="1:1" ht="14.25" customHeight="1">
      <c r="A977" s="9"/>
    </row>
    <row r="978" spans="1:1" ht="14.25" customHeight="1">
      <c r="A978" s="9"/>
    </row>
    <row r="979" spans="1:1" ht="14.25" customHeight="1">
      <c r="A979" s="9"/>
    </row>
    <row r="980" spans="1:1" ht="14.25" customHeight="1">
      <c r="A980" s="9"/>
    </row>
    <row r="981" spans="1:1" ht="14.25" customHeight="1">
      <c r="A981" s="9"/>
    </row>
    <row r="982" spans="1:1" ht="14.25" customHeight="1">
      <c r="A982" s="9"/>
    </row>
    <row r="983" spans="1:1" ht="14.25" customHeight="1">
      <c r="A983" s="9"/>
    </row>
    <row r="984" spans="1:1" ht="14.25" customHeight="1">
      <c r="A984" s="9"/>
    </row>
    <row r="985" spans="1:1" ht="14.25" customHeight="1">
      <c r="A985" s="9"/>
    </row>
    <row r="986" spans="1:1" ht="14.25" customHeight="1">
      <c r="A986" s="9"/>
    </row>
    <row r="987" spans="1:1" ht="14.25" customHeight="1">
      <c r="A987" s="9"/>
    </row>
    <row r="988" spans="1:1" ht="14.25" customHeight="1">
      <c r="A988" s="9"/>
    </row>
    <row r="989" spans="1:1" ht="14.25" customHeight="1">
      <c r="A989" s="9"/>
    </row>
    <row r="990" spans="1:1" ht="14.25" customHeight="1">
      <c r="A990" s="9"/>
    </row>
    <row r="991" spans="1:1" ht="14.25" customHeight="1">
      <c r="A991" s="9"/>
    </row>
    <row r="992" spans="1:1" ht="14.25" customHeight="1">
      <c r="A992" s="9"/>
    </row>
    <row r="993" spans="1:1" ht="14.25" customHeight="1">
      <c r="A993" s="9"/>
    </row>
    <row r="994" spans="1:1" ht="14.25" customHeight="1">
      <c r="A994" s="9"/>
    </row>
    <row r="995" spans="1:1" ht="14.25" customHeight="1">
      <c r="A995" s="9"/>
    </row>
    <row r="996" spans="1:1" ht="14.25" customHeight="1">
      <c r="A996" s="9"/>
    </row>
    <row r="997" spans="1:1" ht="14.25" customHeight="1">
      <c r="A997" s="9"/>
    </row>
    <row r="998" spans="1:1" ht="14.25" customHeight="1">
      <c r="A998" s="9"/>
    </row>
    <row r="999" spans="1:1" ht="14.25" customHeight="1">
      <c r="A999" s="9"/>
    </row>
    <row r="1000" spans="1:1" ht="14.25" customHeight="1">
      <c r="A1000" s="9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4140625" defaultRowHeight="15" customHeight="1"/>
  <cols>
    <col min="1" max="1" width="9" customWidth="1"/>
    <col min="2" max="2" width="8" customWidth="1"/>
    <col min="3" max="26" width="8.6640625" customWidth="1"/>
  </cols>
  <sheetData>
    <row r="1" spans="1:13" ht="14.25" customHeight="1">
      <c r="A1" s="2" t="s">
        <v>1</v>
      </c>
      <c r="B1" s="2">
        <v>1012</v>
      </c>
      <c r="C1" s="2">
        <v>1029</v>
      </c>
      <c r="D1" s="2">
        <v>1033</v>
      </c>
      <c r="E1" s="2">
        <v>1008</v>
      </c>
      <c r="F1" s="2">
        <v>1019</v>
      </c>
      <c r="G1" s="2">
        <v>1026</v>
      </c>
      <c r="H1" s="2">
        <v>1039</v>
      </c>
      <c r="I1" s="2">
        <v>1005</v>
      </c>
    </row>
    <row r="2" spans="1:13" ht="14.25" customHeight="1">
      <c r="A2" s="2" t="s">
        <v>3</v>
      </c>
    </row>
    <row r="3" spans="1:13" ht="14.25" customHeight="1">
      <c r="A3" s="2" t="s">
        <v>80</v>
      </c>
      <c r="M3" s="8" t="s">
        <v>81</v>
      </c>
    </row>
    <row r="4" spans="1:13" ht="14.25" customHeight="1">
      <c r="A4" s="2" t="s">
        <v>4</v>
      </c>
    </row>
    <row r="5" spans="1:13" ht="14.25" customHeight="1"/>
    <row r="6" spans="1:13" ht="14.25" customHeight="1"/>
    <row r="7" spans="1:13" ht="14.25" customHeight="1"/>
    <row r="8" spans="1:13" ht="14.25" customHeight="1"/>
    <row r="9" spans="1:13" ht="14.25" customHeight="1"/>
    <row r="10" spans="1:13" ht="14.25" customHeight="1"/>
    <row r="11" spans="1:13" ht="14.25" customHeight="1"/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topLeftCell="A21" workbookViewId="0">
      <selection activeCell="B31" sqref="B31"/>
    </sheetView>
  </sheetViews>
  <sheetFormatPr defaultColWidth="14.44140625" defaultRowHeight="15" customHeight="1"/>
  <cols>
    <col min="1" max="1" width="85.33203125" customWidth="1"/>
    <col min="2" max="2" width="39.6640625" customWidth="1"/>
    <col min="3" max="3" width="13.109375" customWidth="1"/>
    <col min="4" max="4" width="12.5546875" customWidth="1"/>
    <col min="5" max="6" width="8.6640625" customWidth="1"/>
    <col min="7" max="7" width="18.88671875" customWidth="1"/>
    <col min="8" max="26" width="8.6640625" customWidth="1"/>
  </cols>
  <sheetData>
    <row r="1" spans="1:8" ht="14.25" customHeight="1">
      <c r="B1" s="10"/>
    </row>
    <row r="2" spans="1:8" ht="14.25" customHeight="1">
      <c r="B2" s="10"/>
    </row>
    <row r="3" spans="1:8" ht="14.25" customHeight="1">
      <c r="A3" s="11" t="s">
        <v>82</v>
      </c>
      <c r="B3" s="10"/>
    </row>
    <row r="4" spans="1:8" ht="14.25" customHeight="1">
      <c r="B4" s="10"/>
    </row>
    <row r="5" spans="1:8" ht="14.25" customHeight="1">
      <c r="B5" s="10"/>
    </row>
    <row r="6" spans="1:8" ht="14.25" customHeight="1">
      <c r="B6" s="10"/>
    </row>
    <row r="7" spans="1:8" ht="14.25" customHeight="1">
      <c r="B7" s="10"/>
    </row>
    <row r="8" spans="1:8" ht="14.25" customHeight="1">
      <c r="B8" s="10"/>
    </row>
    <row r="9" spans="1:8" ht="14.25" customHeight="1">
      <c r="B9" s="10"/>
    </row>
    <row r="10" spans="1:8" ht="14.25" customHeight="1">
      <c r="B10" s="10"/>
    </row>
    <row r="11" spans="1:8" ht="14.25" customHeight="1">
      <c r="B11" s="10"/>
    </row>
    <row r="12" spans="1:8" ht="14.25" customHeight="1">
      <c r="B12" s="10"/>
    </row>
    <row r="13" spans="1:8" ht="14.25" customHeight="1">
      <c r="A13" s="2" t="s">
        <v>83</v>
      </c>
      <c r="B13" s="10" t="str">
        <f>INDEX(E13:E53,MATCH(1015,C13:C53))</f>
        <v>Marketing</v>
      </c>
      <c r="C13" s="1" t="s">
        <v>0</v>
      </c>
      <c r="D13" s="1" t="s">
        <v>2</v>
      </c>
      <c r="E13" s="1" t="s">
        <v>4</v>
      </c>
      <c r="F13" s="1" t="s">
        <v>3</v>
      </c>
      <c r="G13" s="1" t="s">
        <v>6</v>
      </c>
      <c r="H13" s="1" t="s">
        <v>5</v>
      </c>
    </row>
    <row r="14" spans="1:8" ht="14.25" customHeight="1">
      <c r="A14" s="2" t="s">
        <v>84</v>
      </c>
      <c r="B14" s="10">
        <f>INDEX(F13:F53,MATCH("grace johnson",D13:D53))</f>
        <v>51016</v>
      </c>
      <c r="C14" s="3">
        <v>1001</v>
      </c>
      <c r="D14" s="3" t="s">
        <v>9</v>
      </c>
      <c r="E14" s="3" t="s">
        <v>10</v>
      </c>
      <c r="F14" s="3">
        <v>50627</v>
      </c>
      <c r="G14" s="5">
        <v>42035</v>
      </c>
      <c r="H14" s="3">
        <v>8</v>
      </c>
    </row>
    <row r="15" spans="1:8" ht="14.25" customHeight="1">
      <c r="A15" s="2" t="s">
        <v>85</v>
      </c>
      <c r="B15" s="10">
        <f>INDEX(G14:G53,MATCH(1032,C14:C53))</f>
        <v>42978</v>
      </c>
      <c r="C15" s="3">
        <v>1002</v>
      </c>
      <c r="D15" s="3" t="s">
        <v>12</v>
      </c>
      <c r="E15" s="3" t="s">
        <v>13</v>
      </c>
      <c r="F15" s="3">
        <v>48792</v>
      </c>
      <c r="G15" s="5">
        <v>42063</v>
      </c>
      <c r="H15" s="3">
        <v>5</v>
      </c>
    </row>
    <row r="16" spans="1:8" ht="14.25" customHeight="1">
      <c r="A16" s="2" t="s">
        <v>87</v>
      </c>
      <c r="B16" s="10">
        <f>INDEX(H14:H53,MATCH("jack walker",D14:D53))</f>
        <v>7</v>
      </c>
      <c r="C16" s="3">
        <v>1003</v>
      </c>
      <c r="D16" s="3" t="s">
        <v>15</v>
      </c>
      <c r="E16" s="3" t="s">
        <v>16</v>
      </c>
      <c r="F16" s="3">
        <v>83323</v>
      </c>
      <c r="G16" s="5">
        <v>42094</v>
      </c>
      <c r="H16" s="3">
        <v>2</v>
      </c>
    </row>
    <row r="17" spans="1:8" ht="14.25" customHeight="1">
      <c r="A17" s="2" t="s">
        <v>91</v>
      </c>
      <c r="B17" s="10" t="str">
        <f>INDEX(D14:D53,MATCH(1028,C14:C53))</f>
        <v>Brandon Murphy</v>
      </c>
      <c r="C17" s="3">
        <v>1004</v>
      </c>
      <c r="D17" s="3" t="s">
        <v>19</v>
      </c>
      <c r="E17" s="3" t="s">
        <v>13</v>
      </c>
      <c r="F17" s="3">
        <v>83021</v>
      </c>
      <c r="G17" s="5">
        <v>42124</v>
      </c>
      <c r="H17" s="3">
        <v>5</v>
      </c>
    </row>
    <row r="18" spans="1:8" ht="14.25" customHeight="1">
      <c r="A18" s="2" t="s">
        <v>95</v>
      </c>
      <c r="B18" s="10" t="str">
        <f>INDEX(E14:E53,MATCH("olivia wright",D14:D53))</f>
        <v>Marketing</v>
      </c>
      <c r="C18" s="3">
        <v>1005</v>
      </c>
      <c r="D18" s="3" t="s">
        <v>21</v>
      </c>
      <c r="E18" s="3" t="s">
        <v>13</v>
      </c>
      <c r="F18" s="3">
        <v>48433</v>
      </c>
      <c r="G18" s="5">
        <v>42155</v>
      </c>
      <c r="H18" s="3">
        <v>8</v>
      </c>
    </row>
    <row r="19" spans="1:8" ht="14.25" customHeight="1">
      <c r="A19" s="2" t="s">
        <v>98</v>
      </c>
      <c r="B19" s="10">
        <f>INDEX(H14:H53,MATCH(1039,C14:C53))</f>
        <v>3</v>
      </c>
      <c r="C19" s="3">
        <v>1006</v>
      </c>
      <c r="D19" s="3" t="s">
        <v>24</v>
      </c>
      <c r="E19" s="3" t="s">
        <v>25</v>
      </c>
      <c r="F19" s="3">
        <v>83001</v>
      </c>
      <c r="G19" s="5">
        <v>42185</v>
      </c>
      <c r="H19" s="3">
        <v>9</v>
      </c>
    </row>
    <row r="20" spans="1:8" ht="14.25" customHeight="1">
      <c r="A20" s="2" t="s">
        <v>100</v>
      </c>
      <c r="B20" s="10">
        <f>INDEX(G14:G53,MATCH("benjamin thompson",D14:D53))</f>
        <v>42063</v>
      </c>
      <c r="C20" s="3">
        <v>1007</v>
      </c>
      <c r="D20" s="3" t="s">
        <v>28</v>
      </c>
      <c r="E20" s="3" t="s">
        <v>16</v>
      </c>
      <c r="F20" s="3">
        <v>51016</v>
      </c>
      <c r="G20" s="5">
        <v>42216</v>
      </c>
      <c r="H20" s="3">
        <v>9</v>
      </c>
    </row>
    <row r="21" spans="1:8" ht="14.25" customHeight="1">
      <c r="A21" s="2" t="s">
        <v>105</v>
      </c>
      <c r="B21" s="10">
        <f>INDEX(H14:H53,MATCH("zachary hill",D14:D53))</f>
        <v>5</v>
      </c>
      <c r="C21" s="3">
        <v>1008</v>
      </c>
      <c r="D21" s="3" t="s">
        <v>30</v>
      </c>
      <c r="E21" s="3" t="s">
        <v>16</v>
      </c>
      <c r="F21" s="3">
        <v>63897</v>
      </c>
      <c r="G21" s="5">
        <v>42247</v>
      </c>
      <c r="H21" s="3">
        <v>1</v>
      </c>
    </row>
    <row r="22" spans="1:8" ht="14.25" customHeight="1">
      <c r="A22" s="2" t="s">
        <v>115</v>
      </c>
      <c r="B22" s="10" t="str">
        <f>INDEX(E14:E53,MATCH(1007,C14:C53))</f>
        <v>Finance</v>
      </c>
      <c r="C22" s="3">
        <v>1009</v>
      </c>
      <c r="D22" s="3" t="s">
        <v>32</v>
      </c>
      <c r="E22" s="3" t="s">
        <v>16</v>
      </c>
      <c r="F22" s="3">
        <v>42612</v>
      </c>
      <c r="G22" s="5">
        <v>42277</v>
      </c>
      <c r="H22" s="3">
        <v>9</v>
      </c>
    </row>
    <row r="23" spans="1:8" ht="14.25" customHeight="1">
      <c r="A23" s="2" t="s">
        <v>121</v>
      </c>
      <c r="B23" s="10">
        <f>INDEX(F14:F53,MATCH("daniel martinez",D14:D53))</f>
        <v>83021</v>
      </c>
      <c r="C23" s="3">
        <v>1010</v>
      </c>
      <c r="D23" s="3" t="s">
        <v>34</v>
      </c>
      <c r="E23" s="3" t="s">
        <v>13</v>
      </c>
      <c r="F23" s="3">
        <v>63483</v>
      </c>
      <c r="G23" s="5">
        <v>42308</v>
      </c>
      <c r="H23" s="3">
        <v>7</v>
      </c>
    </row>
    <row r="24" spans="1:8" ht="14.25" customHeight="1">
      <c r="A24" s="2" t="s">
        <v>129</v>
      </c>
      <c r="B24" s="10">
        <f>INDEX(G14:G53,MATCH(1031,C14:C53))</f>
        <v>42947</v>
      </c>
      <c r="C24" s="3">
        <v>1011</v>
      </c>
      <c r="D24" s="3" t="s">
        <v>35</v>
      </c>
      <c r="E24" s="3" t="s">
        <v>10</v>
      </c>
      <c r="F24" s="3">
        <v>88555</v>
      </c>
      <c r="G24" s="5">
        <v>42338</v>
      </c>
      <c r="H24" s="3">
        <v>9</v>
      </c>
    </row>
    <row r="25" spans="1:8" ht="14.25" customHeight="1">
      <c r="A25" s="2" t="s">
        <v>135</v>
      </c>
      <c r="B25" s="10">
        <f>MATCH(1015,C14:C53)</f>
        <v>15</v>
      </c>
      <c r="C25" s="3">
        <v>1012</v>
      </c>
      <c r="D25" s="3" t="s">
        <v>36</v>
      </c>
      <c r="E25" s="3" t="s">
        <v>16</v>
      </c>
      <c r="F25" s="3">
        <v>57159</v>
      </c>
      <c r="G25" s="5">
        <v>42369</v>
      </c>
      <c r="H25" s="3">
        <v>8</v>
      </c>
    </row>
    <row r="26" spans="1:8" ht="14.25" customHeight="1">
      <c r="A26" s="2" t="s">
        <v>141</v>
      </c>
      <c r="B26" s="10">
        <f>MATCH("grace johnson",D14:D53)</f>
        <v>7</v>
      </c>
      <c r="C26" s="3">
        <v>1013</v>
      </c>
      <c r="D26" s="3" t="s">
        <v>38</v>
      </c>
      <c r="E26" s="3" t="s">
        <v>13</v>
      </c>
      <c r="F26" s="3">
        <v>84974</v>
      </c>
      <c r="G26" s="5">
        <v>42400</v>
      </c>
      <c r="H26" s="3">
        <v>1</v>
      </c>
    </row>
    <row r="27" spans="1:8" ht="14.25" customHeight="1">
      <c r="A27" s="2" t="s">
        <v>147</v>
      </c>
      <c r="B27" s="10">
        <f>MATCH("hr",E14:E53,0)</f>
        <v>19</v>
      </c>
      <c r="C27" s="3">
        <v>1014</v>
      </c>
      <c r="D27" s="3" t="s">
        <v>39</v>
      </c>
      <c r="E27" s="3" t="s">
        <v>25</v>
      </c>
      <c r="F27" s="3">
        <v>80994</v>
      </c>
      <c r="G27" s="5">
        <v>42429</v>
      </c>
      <c r="H27" s="3">
        <v>8</v>
      </c>
    </row>
    <row r="28" spans="1:8" ht="14.25" customHeight="1">
      <c r="A28" s="2" t="s">
        <v>152</v>
      </c>
      <c r="B28" s="10" t="str">
        <f>INDEX(D14:D53,5)</f>
        <v>Emily Rodriguez</v>
      </c>
      <c r="C28" s="3">
        <v>1015</v>
      </c>
      <c r="D28" s="3" t="s">
        <v>40</v>
      </c>
      <c r="E28" s="3" t="s">
        <v>10</v>
      </c>
      <c r="F28" s="3">
        <v>54541</v>
      </c>
      <c r="G28" s="5">
        <v>42460</v>
      </c>
      <c r="H28" s="3">
        <v>8</v>
      </c>
    </row>
    <row r="29" spans="1:8" ht="14.25" customHeight="1">
      <c r="A29" s="2" t="s">
        <v>161</v>
      </c>
      <c r="B29" s="10" t="str">
        <f>INDEX(E14:E53,15)</f>
        <v>Marketing</v>
      </c>
      <c r="C29" s="3">
        <v>1016</v>
      </c>
      <c r="D29" s="3" t="s">
        <v>41</v>
      </c>
      <c r="E29" s="3" t="s">
        <v>25</v>
      </c>
      <c r="F29" s="3">
        <v>75920</v>
      </c>
      <c r="G29" s="5">
        <v>42490</v>
      </c>
      <c r="H29" s="3">
        <v>3</v>
      </c>
    </row>
    <row r="30" spans="1:8" ht="14.25" customHeight="1">
      <c r="A30" s="2" t="s">
        <v>163</v>
      </c>
      <c r="B30" s="10">
        <f>INDEX(F14:F53,10)</f>
        <v>63483</v>
      </c>
      <c r="C30" s="3">
        <v>1017</v>
      </c>
      <c r="D30" s="3" t="s">
        <v>43</v>
      </c>
      <c r="E30" s="3" t="s">
        <v>10</v>
      </c>
      <c r="F30" s="3">
        <v>66531</v>
      </c>
      <c r="G30" s="5">
        <v>42521</v>
      </c>
      <c r="H30" s="3">
        <v>1</v>
      </c>
    </row>
    <row r="31" spans="1:8" ht="14.25" customHeight="1">
      <c r="B31" s="10"/>
      <c r="C31" s="3">
        <v>1018</v>
      </c>
      <c r="D31" s="3" t="s">
        <v>44</v>
      </c>
      <c r="E31" s="3" t="s">
        <v>13</v>
      </c>
      <c r="F31" s="3">
        <v>41585</v>
      </c>
      <c r="G31" s="5">
        <v>42551</v>
      </c>
      <c r="H31" s="3">
        <v>8</v>
      </c>
    </row>
    <row r="32" spans="1:8" ht="14.25" customHeight="1">
      <c r="B32" s="10"/>
      <c r="C32" s="3">
        <v>1019</v>
      </c>
      <c r="D32" s="3" t="s">
        <v>46</v>
      </c>
      <c r="E32" s="3" t="s">
        <v>79</v>
      </c>
      <c r="F32" s="3">
        <v>43943</v>
      </c>
      <c r="G32" s="5">
        <v>42582</v>
      </c>
      <c r="H32" s="3">
        <v>3</v>
      </c>
    </row>
    <row r="33" spans="2:8" ht="14.25" customHeight="1">
      <c r="B33" s="10"/>
      <c r="C33" s="3">
        <v>1020</v>
      </c>
      <c r="D33" s="3" t="s">
        <v>47</v>
      </c>
      <c r="E33" s="3" t="s">
        <v>10</v>
      </c>
      <c r="F33" s="3">
        <v>63939</v>
      </c>
      <c r="G33" s="5">
        <v>42613</v>
      </c>
      <c r="H33" s="3">
        <v>3</v>
      </c>
    </row>
    <row r="34" spans="2:8" ht="14.25" customHeight="1">
      <c r="B34" s="10"/>
      <c r="C34" s="3">
        <v>1021</v>
      </c>
      <c r="D34" s="3" t="s">
        <v>48</v>
      </c>
      <c r="E34" s="3" t="s">
        <v>25</v>
      </c>
      <c r="F34" s="3">
        <v>59457</v>
      </c>
      <c r="G34" s="5">
        <v>42643</v>
      </c>
      <c r="H34" s="3">
        <v>1</v>
      </c>
    </row>
    <row r="35" spans="2:8" ht="14.25" customHeight="1">
      <c r="B35" s="10"/>
      <c r="C35" s="3">
        <v>1022</v>
      </c>
      <c r="D35" s="3" t="s">
        <v>49</v>
      </c>
      <c r="E35" s="3" t="s">
        <v>13</v>
      </c>
      <c r="F35" s="3">
        <v>41021</v>
      </c>
      <c r="G35" s="5">
        <v>42674</v>
      </c>
      <c r="H35" s="3">
        <v>5</v>
      </c>
    </row>
    <row r="36" spans="2:8" ht="14.25" customHeight="1">
      <c r="B36" s="10"/>
      <c r="C36" s="3">
        <v>1023</v>
      </c>
      <c r="D36" s="3" t="s">
        <v>51</v>
      </c>
      <c r="E36" s="3" t="s">
        <v>10</v>
      </c>
      <c r="F36" s="3">
        <v>51653</v>
      </c>
      <c r="G36" s="5">
        <v>42704</v>
      </c>
      <c r="H36" s="3">
        <v>7</v>
      </c>
    </row>
    <row r="37" spans="2:8" ht="14.25" customHeight="1">
      <c r="B37" s="10"/>
      <c r="C37" s="3">
        <v>1024</v>
      </c>
      <c r="D37" s="3" t="s">
        <v>53</v>
      </c>
      <c r="E37" s="3" t="s">
        <v>79</v>
      </c>
      <c r="F37" s="3">
        <v>83573</v>
      </c>
      <c r="G37" s="5">
        <v>42735</v>
      </c>
      <c r="H37" s="3">
        <v>9</v>
      </c>
    </row>
    <row r="38" spans="2:8" ht="14.25" customHeight="1">
      <c r="B38" s="10"/>
      <c r="C38" s="3">
        <v>1025</v>
      </c>
      <c r="D38" s="3" t="s">
        <v>54</v>
      </c>
      <c r="E38" s="3" t="s">
        <v>79</v>
      </c>
      <c r="F38" s="3">
        <v>53417</v>
      </c>
      <c r="G38" s="5">
        <v>42766</v>
      </c>
      <c r="H38" s="3">
        <v>7</v>
      </c>
    </row>
    <row r="39" spans="2:8" ht="14.25" customHeight="1">
      <c r="B39" s="10"/>
      <c r="C39" s="3">
        <v>1026</v>
      </c>
      <c r="D39" s="3" t="s">
        <v>55</v>
      </c>
      <c r="E39" s="3" t="s">
        <v>16</v>
      </c>
      <c r="F39" s="3">
        <v>80757</v>
      </c>
      <c r="G39" s="5">
        <v>42794</v>
      </c>
      <c r="H39" s="3">
        <v>9</v>
      </c>
    </row>
    <row r="40" spans="2:8" ht="14.25" customHeight="1">
      <c r="B40" s="10"/>
      <c r="C40" s="3">
        <v>1027</v>
      </c>
      <c r="D40" s="3" t="s">
        <v>56</v>
      </c>
      <c r="E40" s="3" t="s">
        <v>16</v>
      </c>
      <c r="F40" s="3">
        <v>49692</v>
      </c>
      <c r="G40" s="5">
        <v>42825</v>
      </c>
      <c r="H40" s="3">
        <v>8</v>
      </c>
    </row>
    <row r="41" spans="2:8" ht="14.25" customHeight="1">
      <c r="B41" s="10"/>
      <c r="C41" s="3">
        <v>1028</v>
      </c>
      <c r="D41" s="3" t="s">
        <v>57</v>
      </c>
      <c r="E41" s="3" t="s">
        <v>25</v>
      </c>
      <c r="F41" s="3">
        <v>85758</v>
      </c>
      <c r="G41" s="5">
        <v>42855</v>
      </c>
      <c r="H41" s="3">
        <v>2</v>
      </c>
    </row>
    <row r="42" spans="2:8" ht="14.25" customHeight="1">
      <c r="B42" s="10"/>
      <c r="C42" s="3">
        <v>1029</v>
      </c>
      <c r="D42" s="3" t="s">
        <v>59</v>
      </c>
      <c r="E42" s="3" t="s">
        <v>10</v>
      </c>
      <c r="F42" s="3">
        <v>46873</v>
      </c>
      <c r="G42" s="5">
        <v>42886</v>
      </c>
      <c r="H42" s="3">
        <v>1</v>
      </c>
    </row>
    <row r="43" spans="2:8" ht="14.25" customHeight="1">
      <c r="B43" s="10"/>
      <c r="C43" s="3">
        <v>1030</v>
      </c>
      <c r="D43" s="3" t="s">
        <v>60</v>
      </c>
      <c r="E43" s="3" t="s">
        <v>10</v>
      </c>
      <c r="F43" s="3">
        <v>45675</v>
      </c>
      <c r="G43" s="5">
        <v>42916</v>
      </c>
      <c r="H43" s="3">
        <v>7</v>
      </c>
    </row>
    <row r="44" spans="2:8" ht="14.25" customHeight="1">
      <c r="B44" s="10"/>
      <c r="C44" s="3">
        <v>1031</v>
      </c>
      <c r="D44" s="3" t="s">
        <v>61</v>
      </c>
      <c r="E44" s="3" t="s">
        <v>16</v>
      </c>
      <c r="F44" s="3">
        <v>40161</v>
      </c>
      <c r="G44" s="5">
        <v>42947</v>
      </c>
      <c r="H44" s="3">
        <v>7</v>
      </c>
    </row>
    <row r="45" spans="2:8" ht="14.25" customHeight="1">
      <c r="B45" s="10"/>
      <c r="C45" s="3">
        <v>1032</v>
      </c>
      <c r="D45" s="3" t="s">
        <v>62</v>
      </c>
      <c r="E45" s="3" t="s">
        <v>10</v>
      </c>
      <c r="F45" s="3">
        <v>77065</v>
      </c>
      <c r="G45" s="5">
        <v>42978</v>
      </c>
      <c r="H45" s="3">
        <v>8</v>
      </c>
    </row>
    <row r="46" spans="2:8" ht="14.25" customHeight="1">
      <c r="B46" s="10"/>
      <c r="C46" s="3">
        <v>1033</v>
      </c>
      <c r="D46" s="3" t="s">
        <v>63</v>
      </c>
      <c r="E46" s="3" t="s">
        <v>10</v>
      </c>
      <c r="F46" s="3">
        <v>66557</v>
      </c>
      <c r="G46" s="5">
        <v>43008</v>
      </c>
      <c r="H46" s="3">
        <v>5</v>
      </c>
    </row>
    <row r="47" spans="2:8" ht="14.25" customHeight="1">
      <c r="B47" s="10"/>
      <c r="C47" s="3">
        <v>1034</v>
      </c>
      <c r="D47" s="3" t="s">
        <v>64</v>
      </c>
      <c r="E47" s="3" t="s">
        <v>79</v>
      </c>
      <c r="F47" s="3">
        <v>73763</v>
      </c>
      <c r="G47" s="5">
        <v>43039</v>
      </c>
      <c r="H47" s="3">
        <v>3</v>
      </c>
    </row>
    <row r="48" spans="2:8" ht="14.25" customHeight="1">
      <c r="B48" s="10"/>
      <c r="C48" s="3">
        <v>1035</v>
      </c>
      <c r="D48" s="3" t="s">
        <v>65</v>
      </c>
      <c r="E48" s="3" t="s">
        <v>16</v>
      </c>
      <c r="F48" s="3">
        <v>72606</v>
      </c>
      <c r="G48" s="5">
        <v>43069</v>
      </c>
      <c r="H48" s="3">
        <v>8</v>
      </c>
    </row>
    <row r="49" spans="2:8" ht="14.25" customHeight="1">
      <c r="B49" s="10"/>
      <c r="C49" s="3">
        <v>1036</v>
      </c>
      <c r="D49" s="3" t="s">
        <v>68</v>
      </c>
      <c r="E49" s="3" t="s">
        <v>13</v>
      </c>
      <c r="F49" s="3">
        <v>51534</v>
      </c>
      <c r="G49" s="5">
        <v>43100</v>
      </c>
      <c r="H49" s="3">
        <v>6</v>
      </c>
    </row>
    <row r="50" spans="2:8" ht="14.25" customHeight="1">
      <c r="B50" s="10"/>
      <c r="C50" s="3">
        <v>1037</v>
      </c>
      <c r="D50" s="3" t="s">
        <v>69</v>
      </c>
      <c r="E50" s="3" t="s">
        <v>16</v>
      </c>
      <c r="F50" s="3">
        <v>69127</v>
      </c>
      <c r="G50" s="5">
        <v>43131</v>
      </c>
      <c r="H50" s="3">
        <v>3</v>
      </c>
    </row>
    <row r="51" spans="2:8" ht="14.25" customHeight="1">
      <c r="B51" s="10"/>
      <c r="C51" s="3">
        <v>1038</v>
      </c>
      <c r="D51" s="3" t="s">
        <v>70</v>
      </c>
      <c r="E51" s="3" t="s">
        <v>13</v>
      </c>
      <c r="F51" s="3">
        <v>80397</v>
      </c>
      <c r="G51" s="5">
        <v>43159</v>
      </c>
      <c r="H51" s="3">
        <v>1</v>
      </c>
    </row>
    <row r="52" spans="2:8" ht="14.25" customHeight="1">
      <c r="B52" s="10"/>
      <c r="C52" s="3">
        <v>1039</v>
      </c>
      <c r="D52" s="3" t="s">
        <v>71</v>
      </c>
      <c r="E52" s="3" t="s">
        <v>79</v>
      </c>
      <c r="F52" s="3">
        <v>65851</v>
      </c>
      <c r="G52" s="5">
        <v>43190</v>
      </c>
      <c r="H52" s="3">
        <v>3</v>
      </c>
    </row>
    <row r="53" spans="2:8" ht="14.25" customHeight="1">
      <c r="B53" s="10"/>
      <c r="C53" s="3">
        <v>1040</v>
      </c>
      <c r="D53" s="3" t="s">
        <v>72</v>
      </c>
      <c r="E53" s="3" t="s">
        <v>25</v>
      </c>
      <c r="F53" s="3">
        <v>41016</v>
      </c>
      <c r="G53" s="5">
        <v>43220</v>
      </c>
      <c r="H53" s="3">
        <v>5</v>
      </c>
    </row>
    <row r="54" spans="2:8" ht="14.25" customHeight="1">
      <c r="B54" s="10"/>
    </row>
    <row r="55" spans="2:8" ht="14.25" customHeight="1">
      <c r="B55" s="10"/>
    </row>
    <row r="56" spans="2:8" ht="14.25" customHeight="1">
      <c r="B56" s="10"/>
    </row>
    <row r="57" spans="2:8" ht="14.25" customHeight="1">
      <c r="B57" s="10"/>
    </row>
    <row r="58" spans="2:8" ht="14.25" customHeight="1">
      <c r="B58" s="10"/>
    </row>
    <row r="59" spans="2:8" ht="14.25" customHeight="1">
      <c r="B59" s="10"/>
    </row>
    <row r="60" spans="2:8" ht="14.25" customHeight="1">
      <c r="B60" s="10"/>
    </row>
    <row r="61" spans="2:8" ht="14.25" customHeight="1">
      <c r="B61" s="10"/>
    </row>
    <row r="62" spans="2:8" ht="14.25" customHeight="1">
      <c r="B62" s="10"/>
    </row>
    <row r="63" spans="2:8" ht="14.25" customHeight="1">
      <c r="B63" s="10"/>
    </row>
    <row r="64" spans="2:8" ht="14.25" customHeight="1">
      <c r="B64" s="10"/>
    </row>
    <row r="65" spans="2:2" ht="14.25" customHeight="1">
      <c r="B65" s="10"/>
    </row>
    <row r="66" spans="2:2" ht="14.25" customHeight="1">
      <c r="B66" s="10"/>
    </row>
    <row r="67" spans="2:2" ht="14.25" customHeight="1">
      <c r="B67" s="10"/>
    </row>
    <row r="68" spans="2:2" ht="14.25" customHeight="1">
      <c r="B68" s="10"/>
    </row>
    <row r="69" spans="2:2" ht="14.25" customHeight="1">
      <c r="B69" s="10"/>
    </row>
    <row r="70" spans="2:2" ht="14.25" customHeight="1">
      <c r="B70" s="10"/>
    </row>
    <row r="71" spans="2:2" ht="14.25" customHeight="1">
      <c r="B71" s="10"/>
    </row>
    <row r="72" spans="2:2" ht="14.25" customHeight="1">
      <c r="B72" s="10"/>
    </row>
    <row r="73" spans="2:2" ht="14.25" customHeight="1">
      <c r="B73" s="10"/>
    </row>
    <row r="74" spans="2:2" ht="14.25" customHeight="1">
      <c r="B74" s="10"/>
    </row>
    <row r="75" spans="2:2" ht="14.25" customHeight="1">
      <c r="B75" s="10"/>
    </row>
    <row r="76" spans="2:2" ht="14.25" customHeight="1">
      <c r="B76" s="10"/>
    </row>
    <row r="77" spans="2:2" ht="14.25" customHeight="1">
      <c r="B77" s="10"/>
    </row>
    <row r="78" spans="2:2" ht="14.25" customHeight="1">
      <c r="B78" s="10"/>
    </row>
    <row r="79" spans="2:2" ht="14.25" customHeight="1">
      <c r="B79" s="10"/>
    </row>
    <row r="80" spans="2:2" ht="14.25" customHeight="1">
      <c r="B80" s="10"/>
    </row>
    <row r="81" spans="2:2" ht="14.25" customHeight="1">
      <c r="B81" s="10"/>
    </row>
    <row r="82" spans="2:2" ht="14.25" customHeight="1">
      <c r="B82" s="10"/>
    </row>
    <row r="83" spans="2:2" ht="14.25" customHeight="1">
      <c r="B83" s="10"/>
    </row>
    <row r="84" spans="2:2" ht="14.25" customHeight="1">
      <c r="B84" s="10"/>
    </row>
    <row r="85" spans="2:2" ht="14.25" customHeight="1">
      <c r="B85" s="10"/>
    </row>
    <row r="86" spans="2:2" ht="14.25" customHeight="1">
      <c r="B86" s="10"/>
    </row>
    <row r="87" spans="2:2" ht="14.25" customHeight="1">
      <c r="B87" s="10"/>
    </row>
    <row r="88" spans="2:2" ht="14.25" customHeight="1">
      <c r="B88" s="10"/>
    </row>
    <row r="89" spans="2:2" ht="14.25" customHeight="1">
      <c r="B89" s="10"/>
    </row>
    <row r="90" spans="2:2" ht="14.25" customHeight="1">
      <c r="B90" s="10"/>
    </row>
    <row r="91" spans="2:2" ht="14.25" customHeight="1">
      <c r="B91" s="10"/>
    </row>
    <row r="92" spans="2:2" ht="14.25" customHeight="1">
      <c r="B92" s="10"/>
    </row>
    <row r="93" spans="2:2" ht="14.25" customHeight="1">
      <c r="B93" s="10"/>
    </row>
    <row r="94" spans="2:2" ht="14.25" customHeight="1">
      <c r="B94" s="10"/>
    </row>
    <row r="95" spans="2:2" ht="14.25" customHeight="1">
      <c r="B95" s="10"/>
    </row>
    <row r="96" spans="2:2" ht="14.25" customHeight="1">
      <c r="B96" s="10"/>
    </row>
    <row r="97" spans="2:2" ht="14.25" customHeight="1">
      <c r="B97" s="10"/>
    </row>
    <row r="98" spans="2:2" ht="14.25" customHeight="1">
      <c r="B98" s="10"/>
    </row>
    <row r="99" spans="2:2" ht="14.25" customHeight="1">
      <c r="B99" s="10"/>
    </row>
    <row r="100" spans="2:2" ht="14.25" customHeight="1">
      <c r="B100" s="10"/>
    </row>
    <row r="101" spans="2:2" ht="14.25" customHeight="1">
      <c r="B101" s="10"/>
    </row>
    <row r="102" spans="2:2" ht="14.25" customHeight="1">
      <c r="B102" s="10"/>
    </row>
    <row r="103" spans="2:2" ht="14.25" customHeight="1">
      <c r="B103" s="10"/>
    </row>
    <row r="104" spans="2:2" ht="14.25" customHeight="1">
      <c r="B104" s="10"/>
    </row>
    <row r="105" spans="2:2" ht="14.25" customHeight="1">
      <c r="B105" s="10"/>
    </row>
    <row r="106" spans="2:2" ht="14.25" customHeight="1">
      <c r="B106" s="10"/>
    </row>
    <row r="107" spans="2:2" ht="14.25" customHeight="1">
      <c r="B107" s="10"/>
    </row>
    <row r="108" spans="2:2" ht="14.25" customHeight="1">
      <c r="B108" s="10"/>
    </row>
    <row r="109" spans="2:2" ht="14.25" customHeight="1">
      <c r="B109" s="10"/>
    </row>
    <row r="110" spans="2:2" ht="14.25" customHeight="1">
      <c r="B110" s="10"/>
    </row>
    <row r="111" spans="2:2" ht="14.25" customHeight="1">
      <c r="B111" s="10"/>
    </row>
    <row r="112" spans="2:2" ht="14.25" customHeight="1">
      <c r="B112" s="10"/>
    </row>
    <row r="113" spans="2:2" ht="14.25" customHeight="1">
      <c r="B113" s="10"/>
    </row>
    <row r="114" spans="2:2" ht="14.25" customHeight="1">
      <c r="B114" s="10"/>
    </row>
    <row r="115" spans="2:2" ht="14.25" customHeight="1">
      <c r="B115" s="10"/>
    </row>
    <row r="116" spans="2:2" ht="14.25" customHeight="1">
      <c r="B116" s="10"/>
    </row>
    <row r="117" spans="2:2" ht="14.25" customHeight="1">
      <c r="B117" s="10"/>
    </row>
    <row r="118" spans="2:2" ht="14.25" customHeight="1">
      <c r="B118" s="10"/>
    </row>
    <row r="119" spans="2:2" ht="14.25" customHeight="1">
      <c r="B119" s="10"/>
    </row>
    <row r="120" spans="2:2" ht="14.25" customHeight="1">
      <c r="B120" s="10"/>
    </row>
    <row r="121" spans="2:2" ht="14.25" customHeight="1">
      <c r="B121" s="10"/>
    </row>
    <row r="122" spans="2:2" ht="14.25" customHeight="1">
      <c r="B122" s="10"/>
    </row>
    <row r="123" spans="2:2" ht="14.25" customHeight="1">
      <c r="B123" s="10"/>
    </row>
    <row r="124" spans="2:2" ht="14.25" customHeight="1">
      <c r="B124" s="10"/>
    </row>
    <row r="125" spans="2:2" ht="14.25" customHeight="1">
      <c r="B125" s="10"/>
    </row>
    <row r="126" spans="2:2" ht="14.25" customHeight="1">
      <c r="B126" s="10"/>
    </row>
    <row r="127" spans="2:2" ht="14.25" customHeight="1">
      <c r="B127" s="10"/>
    </row>
    <row r="128" spans="2:2" ht="14.25" customHeight="1">
      <c r="B128" s="10"/>
    </row>
    <row r="129" spans="2:2" ht="14.25" customHeight="1">
      <c r="B129" s="10"/>
    </row>
    <row r="130" spans="2:2" ht="14.25" customHeight="1">
      <c r="B130" s="10"/>
    </row>
    <row r="131" spans="2:2" ht="14.25" customHeight="1">
      <c r="B131" s="10"/>
    </row>
    <row r="132" spans="2:2" ht="14.25" customHeight="1">
      <c r="B132" s="10"/>
    </row>
    <row r="133" spans="2:2" ht="14.25" customHeight="1">
      <c r="B133" s="10"/>
    </row>
    <row r="134" spans="2:2" ht="14.25" customHeight="1">
      <c r="B134" s="10"/>
    </row>
    <row r="135" spans="2:2" ht="14.25" customHeight="1">
      <c r="B135" s="10"/>
    </row>
    <row r="136" spans="2:2" ht="14.25" customHeight="1">
      <c r="B136" s="10"/>
    </row>
    <row r="137" spans="2:2" ht="14.25" customHeight="1">
      <c r="B137" s="10"/>
    </row>
    <row r="138" spans="2:2" ht="14.25" customHeight="1">
      <c r="B138" s="10"/>
    </row>
    <row r="139" spans="2:2" ht="14.25" customHeight="1">
      <c r="B139" s="10"/>
    </row>
    <row r="140" spans="2:2" ht="14.25" customHeight="1">
      <c r="B140" s="10"/>
    </row>
    <row r="141" spans="2:2" ht="14.25" customHeight="1">
      <c r="B141" s="10"/>
    </row>
    <row r="142" spans="2:2" ht="14.25" customHeight="1">
      <c r="B142" s="10"/>
    </row>
    <row r="143" spans="2:2" ht="14.25" customHeight="1">
      <c r="B143" s="10"/>
    </row>
    <row r="144" spans="2:2" ht="14.25" customHeight="1">
      <c r="B144" s="10"/>
    </row>
    <row r="145" spans="2:2" ht="14.25" customHeight="1">
      <c r="B145" s="10"/>
    </row>
    <row r="146" spans="2:2" ht="14.25" customHeight="1">
      <c r="B146" s="10"/>
    </row>
    <row r="147" spans="2:2" ht="14.25" customHeight="1">
      <c r="B147" s="10"/>
    </row>
    <row r="148" spans="2:2" ht="14.25" customHeight="1">
      <c r="B148" s="10"/>
    </row>
    <row r="149" spans="2:2" ht="14.25" customHeight="1">
      <c r="B149" s="10"/>
    </row>
    <row r="150" spans="2:2" ht="14.25" customHeight="1">
      <c r="B150" s="10"/>
    </row>
    <row r="151" spans="2:2" ht="14.25" customHeight="1">
      <c r="B151" s="10"/>
    </row>
    <row r="152" spans="2:2" ht="14.25" customHeight="1">
      <c r="B152" s="10"/>
    </row>
    <row r="153" spans="2:2" ht="14.25" customHeight="1">
      <c r="B153" s="10"/>
    </row>
    <row r="154" spans="2:2" ht="14.25" customHeight="1">
      <c r="B154" s="10"/>
    </row>
    <row r="155" spans="2:2" ht="14.25" customHeight="1">
      <c r="B155" s="10"/>
    </row>
    <row r="156" spans="2:2" ht="14.25" customHeight="1">
      <c r="B156" s="10"/>
    </row>
    <row r="157" spans="2:2" ht="14.25" customHeight="1">
      <c r="B157" s="10"/>
    </row>
    <row r="158" spans="2:2" ht="14.25" customHeight="1">
      <c r="B158" s="10"/>
    </row>
    <row r="159" spans="2:2" ht="14.25" customHeight="1">
      <c r="B159" s="10"/>
    </row>
    <row r="160" spans="2:2" ht="14.25" customHeight="1">
      <c r="B160" s="10"/>
    </row>
    <row r="161" spans="2:2" ht="14.25" customHeight="1">
      <c r="B161" s="10"/>
    </row>
    <row r="162" spans="2:2" ht="14.25" customHeight="1">
      <c r="B162" s="10"/>
    </row>
    <row r="163" spans="2:2" ht="14.25" customHeight="1">
      <c r="B163" s="10"/>
    </row>
    <row r="164" spans="2:2" ht="14.25" customHeight="1">
      <c r="B164" s="10"/>
    </row>
    <row r="165" spans="2:2" ht="14.25" customHeight="1">
      <c r="B165" s="10"/>
    </row>
    <row r="166" spans="2:2" ht="14.25" customHeight="1">
      <c r="B166" s="10"/>
    </row>
    <row r="167" spans="2:2" ht="14.25" customHeight="1">
      <c r="B167" s="10"/>
    </row>
    <row r="168" spans="2:2" ht="14.25" customHeight="1">
      <c r="B168" s="10"/>
    </row>
    <row r="169" spans="2:2" ht="14.25" customHeight="1">
      <c r="B169" s="10"/>
    </row>
    <row r="170" spans="2:2" ht="14.25" customHeight="1">
      <c r="B170" s="10"/>
    </row>
    <row r="171" spans="2:2" ht="14.25" customHeight="1">
      <c r="B171" s="10"/>
    </row>
    <row r="172" spans="2:2" ht="14.25" customHeight="1">
      <c r="B172" s="10"/>
    </row>
    <row r="173" spans="2:2" ht="14.25" customHeight="1">
      <c r="B173" s="10"/>
    </row>
    <row r="174" spans="2:2" ht="14.25" customHeight="1">
      <c r="B174" s="10"/>
    </row>
    <row r="175" spans="2:2" ht="14.25" customHeight="1">
      <c r="B175" s="10"/>
    </row>
    <row r="176" spans="2:2" ht="14.25" customHeight="1">
      <c r="B176" s="10"/>
    </row>
    <row r="177" spans="2:2" ht="14.25" customHeight="1">
      <c r="B177" s="10"/>
    </row>
    <row r="178" spans="2:2" ht="14.25" customHeight="1">
      <c r="B178" s="10"/>
    </row>
    <row r="179" spans="2:2" ht="14.25" customHeight="1">
      <c r="B179" s="10"/>
    </row>
    <row r="180" spans="2:2" ht="14.25" customHeight="1">
      <c r="B180" s="10"/>
    </row>
    <row r="181" spans="2:2" ht="14.25" customHeight="1">
      <c r="B181" s="10"/>
    </row>
    <row r="182" spans="2:2" ht="14.25" customHeight="1">
      <c r="B182" s="10"/>
    </row>
    <row r="183" spans="2:2" ht="14.25" customHeight="1">
      <c r="B183" s="10"/>
    </row>
    <row r="184" spans="2:2" ht="14.25" customHeight="1">
      <c r="B184" s="10"/>
    </row>
    <row r="185" spans="2:2" ht="14.25" customHeight="1">
      <c r="B185" s="10"/>
    </row>
    <row r="186" spans="2:2" ht="14.25" customHeight="1">
      <c r="B186" s="10"/>
    </row>
    <row r="187" spans="2:2" ht="14.25" customHeight="1">
      <c r="B187" s="10"/>
    </row>
    <row r="188" spans="2:2" ht="14.25" customHeight="1">
      <c r="B188" s="10"/>
    </row>
    <row r="189" spans="2:2" ht="14.25" customHeight="1">
      <c r="B189" s="10"/>
    </row>
    <row r="190" spans="2:2" ht="14.25" customHeight="1">
      <c r="B190" s="10"/>
    </row>
    <row r="191" spans="2:2" ht="14.25" customHeight="1">
      <c r="B191" s="10"/>
    </row>
    <row r="192" spans="2:2" ht="14.25" customHeight="1">
      <c r="B192" s="10"/>
    </row>
    <row r="193" spans="2:2" ht="14.25" customHeight="1">
      <c r="B193" s="10"/>
    </row>
    <row r="194" spans="2:2" ht="14.25" customHeight="1">
      <c r="B194" s="10"/>
    </row>
    <row r="195" spans="2:2" ht="14.25" customHeight="1">
      <c r="B195" s="10"/>
    </row>
    <row r="196" spans="2:2" ht="14.25" customHeight="1">
      <c r="B196" s="10"/>
    </row>
    <row r="197" spans="2:2" ht="14.25" customHeight="1">
      <c r="B197" s="10"/>
    </row>
    <row r="198" spans="2:2" ht="14.25" customHeight="1">
      <c r="B198" s="10"/>
    </row>
    <row r="199" spans="2:2" ht="14.25" customHeight="1">
      <c r="B199" s="10"/>
    </row>
    <row r="200" spans="2:2" ht="14.25" customHeight="1">
      <c r="B200" s="10"/>
    </row>
    <row r="201" spans="2:2" ht="14.25" customHeight="1">
      <c r="B201" s="10"/>
    </row>
    <row r="202" spans="2:2" ht="14.25" customHeight="1">
      <c r="B202" s="10"/>
    </row>
    <row r="203" spans="2:2" ht="14.25" customHeight="1">
      <c r="B203" s="10"/>
    </row>
    <row r="204" spans="2:2" ht="14.25" customHeight="1">
      <c r="B204" s="10"/>
    </row>
    <row r="205" spans="2:2" ht="14.25" customHeight="1">
      <c r="B205" s="10"/>
    </row>
    <row r="206" spans="2:2" ht="14.25" customHeight="1">
      <c r="B206" s="10"/>
    </row>
    <row r="207" spans="2:2" ht="14.25" customHeight="1">
      <c r="B207" s="10"/>
    </row>
    <row r="208" spans="2:2" ht="14.25" customHeight="1">
      <c r="B208" s="10"/>
    </row>
    <row r="209" spans="2:2" ht="14.25" customHeight="1">
      <c r="B209" s="10"/>
    </row>
    <row r="210" spans="2:2" ht="14.25" customHeight="1">
      <c r="B210" s="10"/>
    </row>
    <row r="211" spans="2:2" ht="14.25" customHeight="1">
      <c r="B211" s="10"/>
    </row>
    <row r="212" spans="2:2" ht="14.25" customHeight="1">
      <c r="B212" s="10"/>
    </row>
    <row r="213" spans="2:2" ht="14.25" customHeight="1">
      <c r="B213" s="10"/>
    </row>
    <row r="214" spans="2:2" ht="14.25" customHeight="1">
      <c r="B214" s="10"/>
    </row>
    <row r="215" spans="2:2" ht="14.25" customHeight="1">
      <c r="B215" s="10"/>
    </row>
    <row r="216" spans="2:2" ht="14.25" customHeight="1">
      <c r="B216" s="10"/>
    </row>
    <row r="217" spans="2:2" ht="14.25" customHeight="1">
      <c r="B217" s="10"/>
    </row>
    <row r="218" spans="2:2" ht="14.25" customHeight="1">
      <c r="B218" s="10"/>
    </row>
    <row r="219" spans="2:2" ht="14.25" customHeight="1">
      <c r="B219" s="10"/>
    </row>
    <row r="220" spans="2:2" ht="14.25" customHeight="1">
      <c r="B220" s="10"/>
    </row>
    <row r="221" spans="2:2" ht="14.25" customHeight="1">
      <c r="B221" s="10"/>
    </row>
    <row r="222" spans="2:2" ht="14.25" customHeight="1">
      <c r="B222" s="10"/>
    </row>
    <row r="223" spans="2:2" ht="14.25" customHeight="1">
      <c r="B223" s="10"/>
    </row>
    <row r="224" spans="2:2" ht="14.25" customHeight="1">
      <c r="B224" s="10"/>
    </row>
    <row r="225" spans="2:2" ht="14.25" customHeight="1">
      <c r="B225" s="10"/>
    </row>
    <row r="226" spans="2:2" ht="14.25" customHeight="1">
      <c r="B226" s="10"/>
    </row>
    <row r="227" spans="2:2" ht="14.25" customHeight="1">
      <c r="B227" s="10"/>
    </row>
    <row r="228" spans="2:2" ht="14.25" customHeight="1">
      <c r="B228" s="10"/>
    </row>
    <row r="229" spans="2:2" ht="14.25" customHeight="1">
      <c r="B229" s="10"/>
    </row>
    <row r="230" spans="2:2" ht="14.25" customHeight="1">
      <c r="B230" s="10"/>
    </row>
    <row r="231" spans="2:2" ht="14.25" customHeight="1">
      <c r="B231" s="10"/>
    </row>
    <row r="232" spans="2:2" ht="14.25" customHeight="1">
      <c r="B232" s="10"/>
    </row>
    <row r="233" spans="2:2" ht="14.25" customHeight="1">
      <c r="B233" s="10"/>
    </row>
    <row r="234" spans="2:2" ht="14.25" customHeight="1">
      <c r="B234" s="10"/>
    </row>
    <row r="235" spans="2:2" ht="14.25" customHeight="1">
      <c r="B235" s="10"/>
    </row>
    <row r="236" spans="2:2" ht="14.25" customHeight="1">
      <c r="B236" s="10"/>
    </row>
    <row r="237" spans="2:2" ht="14.25" customHeight="1">
      <c r="B237" s="10"/>
    </row>
    <row r="238" spans="2:2" ht="14.25" customHeight="1">
      <c r="B238" s="10"/>
    </row>
    <row r="239" spans="2:2" ht="14.25" customHeight="1">
      <c r="B239" s="10"/>
    </row>
    <row r="240" spans="2:2" ht="14.25" customHeight="1">
      <c r="B240" s="10"/>
    </row>
    <row r="241" spans="2:2" ht="14.25" customHeight="1">
      <c r="B241" s="10"/>
    </row>
    <row r="242" spans="2:2" ht="14.25" customHeight="1">
      <c r="B242" s="10"/>
    </row>
    <row r="243" spans="2:2" ht="14.25" customHeight="1">
      <c r="B243" s="10"/>
    </row>
    <row r="244" spans="2:2" ht="14.25" customHeight="1">
      <c r="B244" s="10"/>
    </row>
    <row r="245" spans="2:2" ht="14.25" customHeight="1">
      <c r="B245" s="10"/>
    </row>
    <row r="246" spans="2:2" ht="14.25" customHeight="1">
      <c r="B246" s="10"/>
    </row>
    <row r="247" spans="2:2" ht="14.25" customHeight="1">
      <c r="B247" s="10"/>
    </row>
    <row r="248" spans="2:2" ht="14.25" customHeight="1">
      <c r="B248" s="10"/>
    </row>
    <row r="249" spans="2:2" ht="14.25" customHeight="1">
      <c r="B249" s="10"/>
    </row>
    <row r="250" spans="2:2" ht="14.25" customHeight="1">
      <c r="B250" s="10"/>
    </row>
    <row r="251" spans="2:2" ht="14.25" customHeight="1">
      <c r="B251" s="10"/>
    </row>
    <row r="252" spans="2:2" ht="14.25" customHeight="1">
      <c r="B252" s="10"/>
    </row>
    <row r="253" spans="2:2" ht="14.25" customHeight="1">
      <c r="B253" s="10"/>
    </row>
    <row r="254" spans="2:2" ht="14.25" customHeight="1">
      <c r="B254" s="10"/>
    </row>
    <row r="255" spans="2:2" ht="14.25" customHeight="1">
      <c r="B255" s="10"/>
    </row>
    <row r="256" spans="2:2" ht="14.25" customHeight="1">
      <c r="B256" s="10"/>
    </row>
    <row r="257" spans="2:2" ht="14.25" customHeight="1">
      <c r="B257" s="10"/>
    </row>
    <row r="258" spans="2:2" ht="14.25" customHeight="1">
      <c r="B258" s="10"/>
    </row>
    <row r="259" spans="2:2" ht="14.25" customHeight="1">
      <c r="B259" s="10"/>
    </row>
    <row r="260" spans="2:2" ht="14.25" customHeight="1">
      <c r="B260" s="10"/>
    </row>
    <row r="261" spans="2:2" ht="14.25" customHeight="1">
      <c r="B261" s="10"/>
    </row>
    <row r="262" spans="2:2" ht="14.25" customHeight="1">
      <c r="B262" s="10"/>
    </row>
    <row r="263" spans="2:2" ht="14.25" customHeight="1">
      <c r="B263" s="10"/>
    </row>
    <row r="264" spans="2:2" ht="14.25" customHeight="1">
      <c r="B264" s="10"/>
    </row>
    <row r="265" spans="2:2" ht="14.25" customHeight="1">
      <c r="B265" s="10"/>
    </row>
    <row r="266" spans="2:2" ht="14.25" customHeight="1">
      <c r="B266" s="10"/>
    </row>
    <row r="267" spans="2:2" ht="14.25" customHeight="1">
      <c r="B267" s="10"/>
    </row>
    <row r="268" spans="2:2" ht="14.25" customHeight="1">
      <c r="B268" s="10"/>
    </row>
    <row r="269" spans="2:2" ht="14.25" customHeight="1">
      <c r="B269" s="10"/>
    </row>
    <row r="270" spans="2:2" ht="14.25" customHeight="1">
      <c r="B270" s="10"/>
    </row>
    <row r="271" spans="2:2" ht="14.25" customHeight="1">
      <c r="B271" s="10"/>
    </row>
    <row r="272" spans="2:2" ht="14.25" customHeight="1">
      <c r="B272" s="10"/>
    </row>
    <row r="273" spans="2:2" ht="14.25" customHeight="1">
      <c r="B273" s="10"/>
    </row>
    <row r="274" spans="2:2" ht="14.25" customHeight="1">
      <c r="B274" s="10"/>
    </row>
    <row r="275" spans="2:2" ht="14.25" customHeight="1">
      <c r="B275" s="10"/>
    </row>
    <row r="276" spans="2:2" ht="14.25" customHeight="1">
      <c r="B276" s="10"/>
    </row>
    <row r="277" spans="2:2" ht="14.25" customHeight="1">
      <c r="B277" s="10"/>
    </row>
    <row r="278" spans="2:2" ht="14.25" customHeight="1">
      <c r="B278" s="10"/>
    </row>
    <row r="279" spans="2:2" ht="14.25" customHeight="1">
      <c r="B279" s="10"/>
    </row>
    <row r="280" spans="2:2" ht="14.25" customHeight="1">
      <c r="B280" s="10"/>
    </row>
    <row r="281" spans="2:2" ht="14.25" customHeight="1">
      <c r="B281" s="10"/>
    </row>
    <row r="282" spans="2:2" ht="14.25" customHeight="1">
      <c r="B282" s="10"/>
    </row>
    <row r="283" spans="2:2" ht="14.25" customHeight="1">
      <c r="B283" s="10"/>
    </row>
    <row r="284" spans="2:2" ht="14.25" customHeight="1">
      <c r="B284" s="10"/>
    </row>
    <row r="285" spans="2:2" ht="14.25" customHeight="1">
      <c r="B285" s="10"/>
    </row>
    <row r="286" spans="2:2" ht="14.25" customHeight="1">
      <c r="B286" s="10"/>
    </row>
    <row r="287" spans="2:2" ht="14.25" customHeight="1">
      <c r="B287" s="10"/>
    </row>
    <row r="288" spans="2:2" ht="14.25" customHeight="1">
      <c r="B288" s="10"/>
    </row>
    <row r="289" spans="2:2" ht="14.25" customHeight="1">
      <c r="B289" s="10"/>
    </row>
    <row r="290" spans="2:2" ht="14.25" customHeight="1">
      <c r="B290" s="10"/>
    </row>
    <row r="291" spans="2:2" ht="14.25" customHeight="1">
      <c r="B291" s="10"/>
    </row>
    <row r="292" spans="2:2" ht="14.25" customHeight="1">
      <c r="B292" s="10"/>
    </row>
    <row r="293" spans="2:2" ht="14.25" customHeight="1">
      <c r="B293" s="10"/>
    </row>
    <row r="294" spans="2:2" ht="14.25" customHeight="1">
      <c r="B294" s="10"/>
    </row>
    <row r="295" spans="2:2" ht="14.25" customHeight="1">
      <c r="B295" s="10"/>
    </row>
    <row r="296" spans="2:2" ht="14.25" customHeight="1">
      <c r="B296" s="10"/>
    </row>
    <row r="297" spans="2:2" ht="14.25" customHeight="1">
      <c r="B297" s="10"/>
    </row>
    <row r="298" spans="2:2" ht="14.25" customHeight="1">
      <c r="B298" s="10"/>
    </row>
    <row r="299" spans="2:2" ht="14.25" customHeight="1">
      <c r="B299" s="10"/>
    </row>
    <row r="300" spans="2:2" ht="14.25" customHeight="1">
      <c r="B300" s="10"/>
    </row>
    <row r="301" spans="2:2" ht="14.25" customHeight="1">
      <c r="B301" s="10"/>
    </row>
    <row r="302" spans="2:2" ht="14.25" customHeight="1">
      <c r="B302" s="10"/>
    </row>
    <row r="303" spans="2:2" ht="14.25" customHeight="1">
      <c r="B303" s="10"/>
    </row>
    <row r="304" spans="2:2" ht="14.25" customHeight="1">
      <c r="B304" s="10"/>
    </row>
    <row r="305" spans="2:2" ht="14.25" customHeight="1">
      <c r="B305" s="10"/>
    </row>
    <row r="306" spans="2:2" ht="14.25" customHeight="1">
      <c r="B306" s="10"/>
    </row>
    <row r="307" spans="2:2" ht="14.25" customHeight="1">
      <c r="B307" s="10"/>
    </row>
    <row r="308" spans="2:2" ht="14.25" customHeight="1">
      <c r="B308" s="10"/>
    </row>
    <row r="309" spans="2:2" ht="14.25" customHeight="1">
      <c r="B309" s="10"/>
    </row>
    <row r="310" spans="2:2" ht="14.25" customHeight="1">
      <c r="B310" s="10"/>
    </row>
    <row r="311" spans="2:2" ht="14.25" customHeight="1">
      <c r="B311" s="10"/>
    </row>
    <row r="312" spans="2:2" ht="14.25" customHeight="1">
      <c r="B312" s="10"/>
    </row>
    <row r="313" spans="2:2" ht="14.25" customHeight="1">
      <c r="B313" s="10"/>
    </row>
    <row r="314" spans="2:2" ht="14.25" customHeight="1">
      <c r="B314" s="10"/>
    </row>
    <row r="315" spans="2:2" ht="14.25" customHeight="1">
      <c r="B315" s="10"/>
    </row>
    <row r="316" spans="2:2" ht="14.25" customHeight="1">
      <c r="B316" s="10"/>
    </row>
    <row r="317" spans="2:2" ht="14.25" customHeight="1">
      <c r="B317" s="10"/>
    </row>
    <row r="318" spans="2:2" ht="14.25" customHeight="1">
      <c r="B318" s="10"/>
    </row>
    <row r="319" spans="2:2" ht="14.25" customHeight="1">
      <c r="B319" s="10"/>
    </row>
    <row r="320" spans="2:2" ht="14.25" customHeight="1">
      <c r="B320" s="10"/>
    </row>
    <row r="321" spans="2:2" ht="14.25" customHeight="1">
      <c r="B321" s="10"/>
    </row>
    <row r="322" spans="2:2" ht="14.25" customHeight="1">
      <c r="B322" s="10"/>
    </row>
    <row r="323" spans="2:2" ht="14.25" customHeight="1">
      <c r="B323" s="10"/>
    </row>
    <row r="324" spans="2:2" ht="14.25" customHeight="1">
      <c r="B324" s="10"/>
    </row>
    <row r="325" spans="2:2" ht="14.25" customHeight="1">
      <c r="B325" s="10"/>
    </row>
    <row r="326" spans="2:2" ht="14.25" customHeight="1">
      <c r="B326" s="10"/>
    </row>
    <row r="327" spans="2:2" ht="14.25" customHeight="1">
      <c r="B327" s="10"/>
    </row>
    <row r="328" spans="2:2" ht="14.25" customHeight="1">
      <c r="B328" s="10"/>
    </row>
    <row r="329" spans="2:2" ht="14.25" customHeight="1">
      <c r="B329" s="10"/>
    </row>
    <row r="330" spans="2:2" ht="14.25" customHeight="1">
      <c r="B330" s="10"/>
    </row>
    <row r="331" spans="2:2" ht="14.25" customHeight="1">
      <c r="B331" s="10"/>
    </row>
    <row r="332" spans="2:2" ht="14.25" customHeight="1">
      <c r="B332" s="10"/>
    </row>
    <row r="333" spans="2:2" ht="14.25" customHeight="1">
      <c r="B333" s="10"/>
    </row>
    <row r="334" spans="2:2" ht="14.25" customHeight="1">
      <c r="B334" s="10"/>
    </row>
    <row r="335" spans="2:2" ht="14.25" customHeight="1">
      <c r="B335" s="10"/>
    </row>
    <row r="336" spans="2:2" ht="14.25" customHeight="1">
      <c r="B336" s="10"/>
    </row>
    <row r="337" spans="2:2" ht="14.25" customHeight="1">
      <c r="B337" s="10"/>
    </row>
    <row r="338" spans="2:2" ht="14.25" customHeight="1">
      <c r="B338" s="10"/>
    </row>
    <row r="339" spans="2:2" ht="14.25" customHeight="1">
      <c r="B339" s="10"/>
    </row>
    <row r="340" spans="2:2" ht="14.25" customHeight="1">
      <c r="B340" s="10"/>
    </row>
    <row r="341" spans="2:2" ht="14.25" customHeight="1">
      <c r="B341" s="10"/>
    </row>
    <row r="342" spans="2:2" ht="14.25" customHeight="1">
      <c r="B342" s="10"/>
    </row>
    <row r="343" spans="2:2" ht="14.25" customHeight="1">
      <c r="B343" s="10"/>
    </row>
    <row r="344" spans="2:2" ht="14.25" customHeight="1">
      <c r="B344" s="10"/>
    </row>
    <row r="345" spans="2:2" ht="14.25" customHeight="1">
      <c r="B345" s="10"/>
    </row>
    <row r="346" spans="2:2" ht="14.25" customHeight="1">
      <c r="B346" s="10"/>
    </row>
    <row r="347" spans="2:2" ht="14.25" customHeight="1">
      <c r="B347" s="10"/>
    </row>
    <row r="348" spans="2:2" ht="14.25" customHeight="1">
      <c r="B348" s="10"/>
    </row>
    <row r="349" spans="2:2" ht="14.25" customHeight="1">
      <c r="B349" s="10"/>
    </row>
    <row r="350" spans="2:2" ht="14.25" customHeight="1">
      <c r="B350" s="10"/>
    </row>
    <row r="351" spans="2:2" ht="14.25" customHeight="1">
      <c r="B351" s="10"/>
    </row>
    <row r="352" spans="2:2" ht="14.25" customHeight="1">
      <c r="B352" s="10"/>
    </row>
    <row r="353" spans="2:2" ht="14.25" customHeight="1">
      <c r="B353" s="10"/>
    </row>
    <row r="354" spans="2:2" ht="14.25" customHeight="1">
      <c r="B354" s="10"/>
    </row>
    <row r="355" spans="2:2" ht="14.25" customHeight="1">
      <c r="B355" s="10"/>
    </row>
    <row r="356" spans="2:2" ht="14.25" customHeight="1">
      <c r="B356" s="10"/>
    </row>
    <row r="357" spans="2:2" ht="14.25" customHeight="1">
      <c r="B357" s="10"/>
    </row>
    <row r="358" spans="2:2" ht="14.25" customHeight="1">
      <c r="B358" s="10"/>
    </row>
    <row r="359" spans="2:2" ht="14.25" customHeight="1">
      <c r="B359" s="10"/>
    </row>
    <row r="360" spans="2:2" ht="14.25" customHeight="1">
      <c r="B360" s="10"/>
    </row>
    <row r="361" spans="2:2" ht="14.25" customHeight="1">
      <c r="B361" s="10"/>
    </row>
    <row r="362" spans="2:2" ht="14.25" customHeight="1">
      <c r="B362" s="10"/>
    </row>
    <row r="363" spans="2:2" ht="14.25" customHeight="1">
      <c r="B363" s="10"/>
    </row>
    <row r="364" spans="2:2" ht="14.25" customHeight="1">
      <c r="B364" s="10"/>
    </row>
    <row r="365" spans="2:2" ht="14.25" customHeight="1">
      <c r="B365" s="10"/>
    </row>
    <row r="366" spans="2:2" ht="14.25" customHeight="1">
      <c r="B366" s="10"/>
    </row>
    <row r="367" spans="2:2" ht="14.25" customHeight="1">
      <c r="B367" s="10"/>
    </row>
    <row r="368" spans="2:2" ht="14.25" customHeight="1">
      <c r="B368" s="10"/>
    </row>
    <row r="369" spans="2:2" ht="14.25" customHeight="1">
      <c r="B369" s="10"/>
    </row>
    <row r="370" spans="2:2" ht="14.25" customHeight="1">
      <c r="B370" s="10"/>
    </row>
    <row r="371" spans="2:2" ht="14.25" customHeight="1">
      <c r="B371" s="10"/>
    </row>
    <row r="372" spans="2:2" ht="14.25" customHeight="1">
      <c r="B372" s="10"/>
    </row>
    <row r="373" spans="2:2" ht="14.25" customHeight="1">
      <c r="B373" s="10"/>
    </row>
    <row r="374" spans="2:2" ht="14.25" customHeight="1">
      <c r="B374" s="10"/>
    </row>
    <row r="375" spans="2:2" ht="14.25" customHeight="1">
      <c r="B375" s="10"/>
    </row>
    <row r="376" spans="2:2" ht="14.25" customHeight="1">
      <c r="B376" s="10"/>
    </row>
    <row r="377" spans="2:2" ht="14.25" customHeight="1">
      <c r="B377" s="10"/>
    </row>
    <row r="378" spans="2:2" ht="14.25" customHeight="1">
      <c r="B378" s="10"/>
    </row>
    <row r="379" spans="2:2" ht="14.25" customHeight="1">
      <c r="B379" s="10"/>
    </row>
    <row r="380" spans="2:2" ht="14.25" customHeight="1">
      <c r="B380" s="10"/>
    </row>
    <row r="381" spans="2:2" ht="14.25" customHeight="1">
      <c r="B381" s="10"/>
    </row>
    <row r="382" spans="2:2" ht="14.25" customHeight="1">
      <c r="B382" s="10"/>
    </row>
    <row r="383" spans="2:2" ht="14.25" customHeight="1">
      <c r="B383" s="10"/>
    </row>
    <row r="384" spans="2:2" ht="14.25" customHeight="1">
      <c r="B384" s="10"/>
    </row>
    <row r="385" spans="2:2" ht="14.25" customHeight="1">
      <c r="B385" s="10"/>
    </row>
    <row r="386" spans="2:2" ht="14.25" customHeight="1">
      <c r="B386" s="10"/>
    </row>
    <row r="387" spans="2:2" ht="14.25" customHeight="1">
      <c r="B387" s="10"/>
    </row>
    <row r="388" spans="2:2" ht="14.25" customHeight="1">
      <c r="B388" s="10"/>
    </row>
    <row r="389" spans="2:2" ht="14.25" customHeight="1">
      <c r="B389" s="10"/>
    </row>
    <row r="390" spans="2:2" ht="14.25" customHeight="1">
      <c r="B390" s="10"/>
    </row>
    <row r="391" spans="2:2" ht="14.25" customHeight="1">
      <c r="B391" s="10"/>
    </row>
    <row r="392" spans="2:2" ht="14.25" customHeight="1">
      <c r="B392" s="10"/>
    </row>
    <row r="393" spans="2:2" ht="14.25" customHeight="1">
      <c r="B393" s="10"/>
    </row>
    <row r="394" spans="2:2" ht="14.25" customHeight="1">
      <c r="B394" s="10"/>
    </row>
    <row r="395" spans="2:2" ht="14.25" customHeight="1">
      <c r="B395" s="10"/>
    </row>
    <row r="396" spans="2:2" ht="14.25" customHeight="1">
      <c r="B396" s="10"/>
    </row>
    <row r="397" spans="2:2" ht="14.25" customHeight="1">
      <c r="B397" s="10"/>
    </row>
    <row r="398" spans="2:2" ht="14.25" customHeight="1">
      <c r="B398" s="10"/>
    </row>
    <row r="399" spans="2:2" ht="14.25" customHeight="1">
      <c r="B399" s="10"/>
    </row>
    <row r="400" spans="2:2" ht="14.25" customHeight="1">
      <c r="B400" s="10"/>
    </row>
    <row r="401" spans="2:2" ht="14.25" customHeight="1">
      <c r="B401" s="10"/>
    </row>
    <row r="402" spans="2:2" ht="14.25" customHeight="1">
      <c r="B402" s="10"/>
    </row>
    <row r="403" spans="2:2" ht="14.25" customHeight="1">
      <c r="B403" s="10"/>
    </row>
    <row r="404" spans="2:2" ht="14.25" customHeight="1">
      <c r="B404" s="10"/>
    </row>
    <row r="405" spans="2:2" ht="14.25" customHeight="1">
      <c r="B405" s="10"/>
    </row>
    <row r="406" spans="2:2" ht="14.25" customHeight="1">
      <c r="B406" s="10"/>
    </row>
    <row r="407" spans="2:2" ht="14.25" customHeight="1">
      <c r="B407" s="10"/>
    </row>
    <row r="408" spans="2:2" ht="14.25" customHeight="1">
      <c r="B408" s="10"/>
    </row>
    <row r="409" spans="2:2" ht="14.25" customHeight="1">
      <c r="B409" s="10"/>
    </row>
    <row r="410" spans="2:2" ht="14.25" customHeight="1">
      <c r="B410" s="10"/>
    </row>
    <row r="411" spans="2:2" ht="14.25" customHeight="1">
      <c r="B411" s="10"/>
    </row>
    <row r="412" spans="2:2" ht="14.25" customHeight="1">
      <c r="B412" s="10"/>
    </row>
    <row r="413" spans="2:2" ht="14.25" customHeight="1">
      <c r="B413" s="10"/>
    </row>
    <row r="414" spans="2:2" ht="14.25" customHeight="1">
      <c r="B414" s="10"/>
    </row>
    <row r="415" spans="2:2" ht="14.25" customHeight="1">
      <c r="B415" s="10"/>
    </row>
    <row r="416" spans="2:2" ht="14.25" customHeight="1">
      <c r="B416" s="10"/>
    </row>
    <row r="417" spans="2:2" ht="14.25" customHeight="1">
      <c r="B417" s="10"/>
    </row>
    <row r="418" spans="2:2" ht="14.25" customHeight="1">
      <c r="B418" s="10"/>
    </row>
    <row r="419" spans="2:2" ht="14.25" customHeight="1">
      <c r="B419" s="10"/>
    </row>
    <row r="420" spans="2:2" ht="14.25" customHeight="1">
      <c r="B420" s="10"/>
    </row>
    <row r="421" spans="2:2" ht="14.25" customHeight="1">
      <c r="B421" s="10"/>
    </row>
    <row r="422" spans="2:2" ht="14.25" customHeight="1">
      <c r="B422" s="10"/>
    </row>
    <row r="423" spans="2:2" ht="14.25" customHeight="1">
      <c r="B423" s="10"/>
    </row>
    <row r="424" spans="2:2" ht="14.25" customHeight="1">
      <c r="B424" s="10"/>
    </row>
    <row r="425" spans="2:2" ht="14.25" customHeight="1">
      <c r="B425" s="10"/>
    </row>
    <row r="426" spans="2:2" ht="14.25" customHeight="1">
      <c r="B426" s="10"/>
    </row>
    <row r="427" spans="2:2" ht="14.25" customHeight="1">
      <c r="B427" s="10"/>
    </row>
    <row r="428" spans="2:2" ht="14.25" customHeight="1">
      <c r="B428" s="10"/>
    </row>
    <row r="429" spans="2:2" ht="14.25" customHeight="1">
      <c r="B429" s="10"/>
    </row>
    <row r="430" spans="2:2" ht="14.25" customHeight="1">
      <c r="B430" s="10"/>
    </row>
    <row r="431" spans="2:2" ht="14.25" customHeight="1">
      <c r="B431" s="10"/>
    </row>
    <row r="432" spans="2:2" ht="14.25" customHeight="1">
      <c r="B432" s="10"/>
    </row>
    <row r="433" spans="2:2" ht="14.25" customHeight="1">
      <c r="B433" s="10"/>
    </row>
    <row r="434" spans="2:2" ht="14.25" customHeight="1">
      <c r="B434" s="10"/>
    </row>
    <row r="435" spans="2:2" ht="14.25" customHeight="1">
      <c r="B435" s="10"/>
    </row>
    <row r="436" spans="2:2" ht="14.25" customHeight="1">
      <c r="B436" s="10"/>
    </row>
    <row r="437" spans="2:2" ht="14.25" customHeight="1">
      <c r="B437" s="10"/>
    </row>
    <row r="438" spans="2:2" ht="14.25" customHeight="1">
      <c r="B438" s="10"/>
    </row>
    <row r="439" spans="2:2" ht="14.25" customHeight="1">
      <c r="B439" s="10"/>
    </row>
    <row r="440" spans="2:2" ht="14.25" customHeight="1">
      <c r="B440" s="10"/>
    </row>
    <row r="441" spans="2:2" ht="14.25" customHeight="1">
      <c r="B441" s="10"/>
    </row>
    <row r="442" spans="2:2" ht="14.25" customHeight="1">
      <c r="B442" s="10"/>
    </row>
    <row r="443" spans="2:2" ht="14.25" customHeight="1">
      <c r="B443" s="10"/>
    </row>
    <row r="444" spans="2:2" ht="14.25" customHeight="1">
      <c r="B444" s="10"/>
    </row>
    <row r="445" spans="2:2" ht="14.25" customHeight="1">
      <c r="B445" s="10"/>
    </row>
    <row r="446" spans="2:2" ht="14.25" customHeight="1">
      <c r="B446" s="10"/>
    </row>
    <row r="447" spans="2:2" ht="14.25" customHeight="1">
      <c r="B447" s="10"/>
    </row>
    <row r="448" spans="2:2" ht="14.25" customHeight="1">
      <c r="B448" s="10"/>
    </row>
    <row r="449" spans="2:2" ht="14.25" customHeight="1">
      <c r="B449" s="10"/>
    </row>
    <row r="450" spans="2:2" ht="14.25" customHeight="1">
      <c r="B450" s="10"/>
    </row>
    <row r="451" spans="2:2" ht="14.25" customHeight="1">
      <c r="B451" s="10"/>
    </row>
    <row r="452" spans="2:2" ht="14.25" customHeight="1">
      <c r="B452" s="10"/>
    </row>
    <row r="453" spans="2:2" ht="14.25" customHeight="1">
      <c r="B453" s="10"/>
    </row>
    <row r="454" spans="2:2" ht="14.25" customHeight="1">
      <c r="B454" s="10"/>
    </row>
    <row r="455" spans="2:2" ht="14.25" customHeight="1">
      <c r="B455" s="10"/>
    </row>
    <row r="456" spans="2:2" ht="14.25" customHeight="1">
      <c r="B456" s="10"/>
    </row>
    <row r="457" spans="2:2" ht="14.25" customHeight="1">
      <c r="B457" s="10"/>
    </row>
    <row r="458" spans="2:2" ht="14.25" customHeight="1">
      <c r="B458" s="10"/>
    </row>
    <row r="459" spans="2:2" ht="14.25" customHeight="1">
      <c r="B459" s="10"/>
    </row>
    <row r="460" spans="2:2" ht="14.25" customHeight="1">
      <c r="B460" s="10"/>
    </row>
    <row r="461" spans="2:2" ht="14.25" customHeight="1">
      <c r="B461" s="10"/>
    </row>
    <row r="462" spans="2:2" ht="14.25" customHeight="1">
      <c r="B462" s="10"/>
    </row>
    <row r="463" spans="2:2" ht="14.25" customHeight="1">
      <c r="B463" s="10"/>
    </row>
    <row r="464" spans="2:2" ht="14.25" customHeight="1">
      <c r="B464" s="10"/>
    </row>
    <row r="465" spans="2:2" ht="14.25" customHeight="1">
      <c r="B465" s="10"/>
    </row>
    <row r="466" spans="2:2" ht="14.25" customHeight="1">
      <c r="B466" s="10"/>
    </row>
    <row r="467" spans="2:2" ht="14.25" customHeight="1">
      <c r="B467" s="10"/>
    </row>
    <row r="468" spans="2:2" ht="14.25" customHeight="1">
      <c r="B468" s="10"/>
    </row>
    <row r="469" spans="2:2" ht="14.25" customHeight="1">
      <c r="B469" s="10"/>
    </row>
    <row r="470" spans="2:2" ht="14.25" customHeight="1">
      <c r="B470" s="10"/>
    </row>
    <row r="471" spans="2:2" ht="14.25" customHeight="1">
      <c r="B471" s="10"/>
    </row>
    <row r="472" spans="2:2" ht="14.25" customHeight="1">
      <c r="B472" s="10"/>
    </row>
    <row r="473" spans="2:2" ht="14.25" customHeight="1">
      <c r="B473" s="10"/>
    </row>
    <row r="474" spans="2:2" ht="14.25" customHeight="1">
      <c r="B474" s="10"/>
    </row>
    <row r="475" spans="2:2" ht="14.25" customHeight="1">
      <c r="B475" s="10"/>
    </row>
    <row r="476" spans="2:2" ht="14.25" customHeight="1">
      <c r="B476" s="10"/>
    </row>
    <row r="477" spans="2:2" ht="14.25" customHeight="1">
      <c r="B477" s="10"/>
    </row>
    <row r="478" spans="2:2" ht="14.25" customHeight="1">
      <c r="B478" s="10"/>
    </row>
    <row r="479" spans="2:2" ht="14.25" customHeight="1">
      <c r="B479" s="10"/>
    </row>
    <row r="480" spans="2:2" ht="14.25" customHeight="1">
      <c r="B480" s="10"/>
    </row>
    <row r="481" spans="2:2" ht="14.25" customHeight="1">
      <c r="B481" s="10"/>
    </row>
    <row r="482" spans="2:2" ht="14.25" customHeight="1">
      <c r="B482" s="10"/>
    </row>
    <row r="483" spans="2:2" ht="14.25" customHeight="1">
      <c r="B483" s="10"/>
    </row>
    <row r="484" spans="2:2" ht="14.25" customHeight="1">
      <c r="B484" s="10"/>
    </row>
    <row r="485" spans="2:2" ht="14.25" customHeight="1">
      <c r="B485" s="10"/>
    </row>
    <row r="486" spans="2:2" ht="14.25" customHeight="1">
      <c r="B486" s="10"/>
    </row>
    <row r="487" spans="2:2" ht="14.25" customHeight="1">
      <c r="B487" s="10"/>
    </row>
    <row r="488" spans="2:2" ht="14.25" customHeight="1">
      <c r="B488" s="10"/>
    </row>
    <row r="489" spans="2:2" ht="14.25" customHeight="1">
      <c r="B489" s="10"/>
    </row>
    <row r="490" spans="2:2" ht="14.25" customHeight="1">
      <c r="B490" s="10"/>
    </row>
    <row r="491" spans="2:2" ht="14.25" customHeight="1">
      <c r="B491" s="10"/>
    </row>
    <row r="492" spans="2:2" ht="14.25" customHeight="1">
      <c r="B492" s="10"/>
    </row>
    <row r="493" spans="2:2" ht="14.25" customHeight="1">
      <c r="B493" s="10"/>
    </row>
    <row r="494" spans="2:2" ht="14.25" customHeight="1">
      <c r="B494" s="10"/>
    </row>
    <row r="495" spans="2:2" ht="14.25" customHeight="1">
      <c r="B495" s="10"/>
    </row>
    <row r="496" spans="2:2" ht="14.25" customHeight="1">
      <c r="B496" s="10"/>
    </row>
    <row r="497" spans="2:2" ht="14.25" customHeight="1">
      <c r="B497" s="10"/>
    </row>
    <row r="498" spans="2:2" ht="14.25" customHeight="1">
      <c r="B498" s="10"/>
    </row>
    <row r="499" spans="2:2" ht="14.25" customHeight="1">
      <c r="B499" s="10"/>
    </row>
    <row r="500" spans="2:2" ht="14.25" customHeight="1">
      <c r="B500" s="10"/>
    </row>
    <row r="501" spans="2:2" ht="14.25" customHeight="1">
      <c r="B501" s="10"/>
    </row>
    <row r="502" spans="2:2" ht="14.25" customHeight="1">
      <c r="B502" s="10"/>
    </row>
    <row r="503" spans="2:2" ht="14.25" customHeight="1">
      <c r="B503" s="10"/>
    </row>
    <row r="504" spans="2:2" ht="14.25" customHeight="1">
      <c r="B504" s="10"/>
    </row>
    <row r="505" spans="2:2" ht="14.25" customHeight="1">
      <c r="B505" s="10"/>
    </row>
    <row r="506" spans="2:2" ht="14.25" customHeight="1">
      <c r="B506" s="10"/>
    </row>
    <row r="507" spans="2:2" ht="14.25" customHeight="1">
      <c r="B507" s="10"/>
    </row>
    <row r="508" spans="2:2" ht="14.25" customHeight="1">
      <c r="B508" s="10"/>
    </row>
    <row r="509" spans="2:2" ht="14.25" customHeight="1">
      <c r="B509" s="10"/>
    </row>
    <row r="510" spans="2:2" ht="14.25" customHeight="1">
      <c r="B510" s="10"/>
    </row>
    <row r="511" spans="2:2" ht="14.25" customHeight="1">
      <c r="B511" s="10"/>
    </row>
    <row r="512" spans="2:2" ht="14.25" customHeight="1">
      <c r="B512" s="10"/>
    </row>
    <row r="513" spans="2:2" ht="14.25" customHeight="1">
      <c r="B513" s="10"/>
    </row>
    <row r="514" spans="2:2" ht="14.25" customHeight="1">
      <c r="B514" s="10"/>
    </row>
    <row r="515" spans="2:2" ht="14.25" customHeight="1">
      <c r="B515" s="10"/>
    </row>
    <row r="516" spans="2:2" ht="14.25" customHeight="1">
      <c r="B516" s="10"/>
    </row>
    <row r="517" spans="2:2" ht="14.25" customHeight="1">
      <c r="B517" s="10"/>
    </row>
    <row r="518" spans="2:2" ht="14.25" customHeight="1">
      <c r="B518" s="10"/>
    </row>
    <row r="519" spans="2:2" ht="14.25" customHeight="1">
      <c r="B519" s="10"/>
    </row>
    <row r="520" spans="2:2" ht="14.25" customHeight="1">
      <c r="B520" s="10"/>
    </row>
    <row r="521" spans="2:2" ht="14.25" customHeight="1">
      <c r="B521" s="10"/>
    </row>
    <row r="522" spans="2:2" ht="14.25" customHeight="1">
      <c r="B522" s="10"/>
    </row>
    <row r="523" spans="2:2" ht="14.25" customHeight="1">
      <c r="B523" s="10"/>
    </row>
    <row r="524" spans="2:2" ht="14.25" customHeight="1">
      <c r="B524" s="10"/>
    </row>
    <row r="525" spans="2:2" ht="14.25" customHeight="1">
      <c r="B525" s="10"/>
    </row>
    <row r="526" spans="2:2" ht="14.25" customHeight="1">
      <c r="B526" s="10"/>
    </row>
    <row r="527" spans="2:2" ht="14.25" customHeight="1">
      <c r="B527" s="10"/>
    </row>
    <row r="528" spans="2:2" ht="14.25" customHeight="1">
      <c r="B528" s="10"/>
    </row>
    <row r="529" spans="2:2" ht="14.25" customHeight="1">
      <c r="B529" s="10"/>
    </row>
    <row r="530" spans="2:2" ht="14.25" customHeight="1">
      <c r="B530" s="10"/>
    </row>
    <row r="531" spans="2:2" ht="14.25" customHeight="1">
      <c r="B531" s="10"/>
    </row>
    <row r="532" spans="2:2" ht="14.25" customHeight="1">
      <c r="B532" s="10"/>
    </row>
    <row r="533" spans="2:2" ht="14.25" customHeight="1">
      <c r="B533" s="10"/>
    </row>
    <row r="534" spans="2:2" ht="14.25" customHeight="1">
      <c r="B534" s="10"/>
    </row>
    <row r="535" spans="2:2" ht="14.25" customHeight="1">
      <c r="B535" s="10"/>
    </row>
    <row r="536" spans="2:2" ht="14.25" customHeight="1">
      <c r="B536" s="10"/>
    </row>
    <row r="537" spans="2:2" ht="14.25" customHeight="1">
      <c r="B537" s="10"/>
    </row>
    <row r="538" spans="2:2" ht="14.25" customHeight="1">
      <c r="B538" s="10"/>
    </row>
    <row r="539" spans="2:2" ht="14.25" customHeight="1">
      <c r="B539" s="10"/>
    </row>
    <row r="540" spans="2:2" ht="14.25" customHeight="1">
      <c r="B540" s="10"/>
    </row>
    <row r="541" spans="2:2" ht="14.25" customHeight="1">
      <c r="B541" s="10"/>
    </row>
    <row r="542" spans="2:2" ht="14.25" customHeight="1">
      <c r="B542" s="10"/>
    </row>
    <row r="543" spans="2:2" ht="14.25" customHeight="1">
      <c r="B543" s="10"/>
    </row>
    <row r="544" spans="2:2" ht="14.25" customHeight="1">
      <c r="B544" s="10"/>
    </row>
    <row r="545" spans="2:2" ht="14.25" customHeight="1">
      <c r="B545" s="10"/>
    </row>
    <row r="546" spans="2:2" ht="14.25" customHeight="1">
      <c r="B546" s="10"/>
    </row>
    <row r="547" spans="2:2" ht="14.25" customHeight="1">
      <c r="B547" s="10"/>
    </row>
    <row r="548" spans="2:2" ht="14.25" customHeight="1">
      <c r="B548" s="10"/>
    </row>
    <row r="549" spans="2:2" ht="14.25" customHeight="1">
      <c r="B549" s="10"/>
    </row>
    <row r="550" spans="2:2" ht="14.25" customHeight="1">
      <c r="B550" s="10"/>
    </row>
    <row r="551" spans="2:2" ht="14.25" customHeight="1">
      <c r="B551" s="10"/>
    </row>
    <row r="552" spans="2:2" ht="14.25" customHeight="1">
      <c r="B552" s="10"/>
    </row>
    <row r="553" spans="2:2" ht="14.25" customHeight="1">
      <c r="B553" s="10"/>
    </row>
    <row r="554" spans="2:2" ht="14.25" customHeight="1">
      <c r="B554" s="10"/>
    </row>
    <row r="555" spans="2:2" ht="14.25" customHeight="1">
      <c r="B555" s="10"/>
    </row>
    <row r="556" spans="2:2" ht="14.25" customHeight="1">
      <c r="B556" s="10"/>
    </row>
    <row r="557" spans="2:2" ht="14.25" customHeight="1">
      <c r="B557" s="10"/>
    </row>
    <row r="558" spans="2:2" ht="14.25" customHeight="1">
      <c r="B558" s="10"/>
    </row>
    <row r="559" spans="2:2" ht="14.25" customHeight="1">
      <c r="B559" s="10"/>
    </row>
    <row r="560" spans="2:2" ht="14.25" customHeight="1">
      <c r="B560" s="10"/>
    </row>
    <row r="561" spans="2:2" ht="14.25" customHeight="1">
      <c r="B561" s="10"/>
    </row>
    <row r="562" spans="2:2" ht="14.25" customHeight="1">
      <c r="B562" s="10"/>
    </row>
    <row r="563" spans="2:2" ht="14.25" customHeight="1">
      <c r="B563" s="10"/>
    </row>
    <row r="564" spans="2:2" ht="14.25" customHeight="1">
      <c r="B564" s="10"/>
    </row>
    <row r="565" spans="2:2" ht="14.25" customHeight="1">
      <c r="B565" s="10"/>
    </row>
    <row r="566" spans="2:2" ht="14.25" customHeight="1">
      <c r="B566" s="10"/>
    </row>
    <row r="567" spans="2:2" ht="14.25" customHeight="1">
      <c r="B567" s="10"/>
    </row>
    <row r="568" spans="2:2" ht="14.25" customHeight="1">
      <c r="B568" s="10"/>
    </row>
    <row r="569" spans="2:2" ht="14.25" customHeight="1">
      <c r="B569" s="10"/>
    </row>
    <row r="570" spans="2:2" ht="14.25" customHeight="1">
      <c r="B570" s="10"/>
    </row>
    <row r="571" spans="2:2" ht="14.25" customHeight="1">
      <c r="B571" s="10"/>
    </row>
    <row r="572" spans="2:2" ht="14.25" customHeight="1">
      <c r="B572" s="10"/>
    </row>
    <row r="573" spans="2:2" ht="14.25" customHeight="1">
      <c r="B573" s="10"/>
    </row>
    <row r="574" spans="2:2" ht="14.25" customHeight="1">
      <c r="B574" s="10"/>
    </row>
    <row r="575" spans="2:2" ht="14.25" customHeight="1">
      <c r="B575" s="10"/>
    </row>
    <row r="576" spans="2:2" ht="14.25" customHeight="1">
      <c r="B576" s="10"/>
    </row>
    <row r="577" spans="2:2" ht="14.25" customHeight="1">
      <c r="B577" s="10"/>
    </row>
    <row r="578" spans="2:2" ht="14.25" customHeight="1">
      <c r="B578" s="10"/>
    </row>
    <row r="579" spans="2:2" ht="14.25" customHeight="1">
      <c r="B579" s="10"/>
    </row>
    <row r="580" spans="2:2" ht="14.25" customHeight="1">
      <c r="B580" s="10"/>
    </row>
    <row r="581" spans="2:2" ht="14.25" customHeight="1">
      <c r="B581" s="10"/>
    </row>
    <row r="582" spans="2:2" ht="14.25" customHeight="1">
      <c r="B582" s="10"/>
    </row>
    <row r="583" spans="2:2" ht="14.25" customHeight="1">
      <c r="B583" s="10"/>
    </row>
    <row r="584" spans="2:2" ht="14.25" customHeight="1">
      <c r="B584" s="10"/>
    </row>
    <row r="585" spans="2:2" ht="14.25" customHeight="1">
      <c r="B585" s="10"/>
    </row>
    <row r="586" spans="2:2" ht="14.25" customHeight="1">
      <c r="B586" s="10"/>
    </row>
    <row r="587" spans="2:2" ht="14.25" customHeight="1">
      <c r="B587" s="10"/>
    </row>
    <row r="588" spans="2:2" ht="14.25" customHeight="1">
      <c r="B588" s="10"/>
    </row>
    <row r="589" spans="2:2" ht="14.25" customHeight="1">
      <c r="B589" s="10"/>
    </row>
    <row r="590" spans="2:2" ht="14.25" customHeight="1">
      <c r="B590" s="10"/>
    </row>
    <row r="591" spans="2:2" ht="14.25" customHeight="1">
      <c r="B591" s="10"/>
    </row>
    <row r="592" spans="2:2" ht="14.25" customHeight="1">
      <c r="B592" s="10"/>
    </row>
    <row r="593" spans="2:2" ht="14.25" customHeight="1">
      <c r="B593" s="10"/>
    </row>
    <row r="594" spans="2:2" ht="14.25" customHeight="1">
      <c r="B594" s="10"/>
    </row>
    <row r="595" spans="2:2" ht="14.25" customHeight="1">
      <c r="B595" s="10"/>
    </row>
    <row r="596" spans="2:2" ht="14.25" customHeight="1">
      <c r="B596" s="10"/>
    </row>
    <row r="597" spans="2:2" ht="14.25" customHeight="1">
      <c r="B597" s="10"/>
    </row>
    <row r="598" spans="2:2" ht="14.25" customHeight="1">
      <c r="B598" s="10"/>
    </row>
    <row r="599" spans="2:2" ht="14.25" customHeight="1">
      <c r="B599" s="10"/>
    </row>
    <row r="600" spans="2:2" ht="14.25" customHeight="1">
      <c r="B600" s="10"/>
    </row>
    <row r="601" spans="2:2" ht="14.25" customHeight="1">
      <c r="B601" s="10"/>
    </row>
    <row r="602" spans="2:2" ht="14.25" customHeight="1">
      <c r="B602" s="10"/>
    </row>
    <row r="603" spans="2:2" ht="14.25" customHeight="1">
      <c r="B603" s="10"/>
    </row>
    <row r="604" spans="2:2" ht="14.25" customHeight="1">
      <c r="B604" s="10"/>
    </row>
    <row r="605" spans="2:2" ht="14.25" customHeight="1">
      <c r="B605" s="10"/>
    </row>
    <row r="606" spans="2:2" ht="14.25" customHeight="1">
      <c r="B606" s="10"/>
    </row>
    <row r="607" spans="2:2" ht="14.25" customHeight="1">
      <c r="B607" s="10"/>
    </row>
    <row r="608" spans="2:2" ht="14.25" customHeight="1">
      <c r="B608" s="10"/>
    </row>
    <row r="609" spans="2:2" ht="14.25" customHeight="1">
      <c r="B609" s="10"/>
    </row>
    <row r="610" spans="2:2" ht="14.25" customHeight="1">
      <c r="B610" s="10"/>
    </row>
    <row r="611" spans="2:2" ht="14.25" customHeight="1">
      <c r="B611" s="10"/>
    </row>
    <row r="612" spans="2:2" ht="14.25" customHeight="1">
      <c r="B612" s="10"/>
    </row>
    <row r="613" spans="2:2" ht="14.25" customHeight="1">
      <c r="B613" s="10"/>
    </row>
    <row r="614" spans="2:2" ht="14.25" customHeight="1">
      <c r="B614" s="10"/>
    </row>
    <row r="615" spans="2:2" ht="14.25" customHeight="1">
      <c r="B615" s="10"/>
    </row>
    <row r="616" spans="2:2" ht="14.25" customHeight="1">
      <c r="B616" s="10"/>
    </row>
    <row r="617" spans="2:2" ht="14.25" customHeight="1">
      <c r="B617" s="10"/>
    </row>
    <row r="618" spans="2:2" ht="14.25" customHeight="1">
      <c r="B618" s="10"/>
    </row>
    <row r="619" spans="2:2" ht="14.25" customHeight="1">
      <c r="B619" s="10"/>
    </row>
    <row r="620" spans="2:2" ht="14.25" customHeight="1">
      <c r="B620" s="10"/>
    </row>
    <row r="621" spans="2:2" ht="14.25" customHeight="1">
      <c r="B621" s="10"/>
    </row>
    <row r="622" spans="2:2" ht="14.25" customHeight="1">
      <c r="B622" s="10"/>
    </row>
    <row r="623" spans="2:2" ht="14.25" customHeight="1">
      <c r="B623" s="10"/>
    </row>
    <row r="624" spans="2:2" ht="14.25" customHeight="1">
      <c r="B624" s="10"/>
    </row>
    <row r="625" spans="2:2" ht="14.25" customHeight="1">
      <c r="B625" s="10"/>
    </row>
    <row r="626" spans="2:2" ht="14.25" customHeight="1">
      <c r="B626" s="10"/>
    </row>
    <row r="627" spans="2:2" ht="14.25" customHeight="1">
      <c r="B627" s="10"/>
    </row>
    <row r="628" spans="2:2" ht="14.25" customHeight="1">
      <c r="B628" s="10"/>
    </row>
    <row r="629" spans="2:2" ht="14.25" customHeight="1">
      <c r="B629" s="10"/>
    </row>
    <row r="630" spans="2:2" ht="14.25" customHeight="1">
      <c r="B630" s="10"/>
    </row>
    <row r="631" spans="2:2" ht="14.25" customHeight="1">
      <c r="B631" s="10"/>
    </row>
    <row r="632" spans="2:2" ht="14.25" customHeight="1">
      <c r="B632" s="10"/>
    </row>
    <row r="633" spans="2:2" ht="14.25" customHeight="1">
      <c r="B633" s="10"/>
    </row>
    <row r="634" spans="2:2" ht="14.25" customHeight="1">
      <c r="B634" s="10"/>
    </row>
    <row r="635" spans="2:2" ht="14.25" customHeight="1">
      <c r="B635" s="10"/>
    </row>
    <row r="636" spans="2:2" ht="14.25" customHeight="1">
      <c r="B636" s="10"/>
    </row>
    <row r="637" spans="2:2" ht="14.25" customHeight="1">
      <c r="B637" s="10"/>
    </row>
    <row r="638" spans="2:2" ht="14.25" customHeight="1">
      <c r="B638" s="10"/>
    </row>
    <row r="639" spans="2:2" ht="14.25" customHeight="1">
      <c r="B639" s="10"/>
    </row>
    <row r="640" spans="2:2" ht="14.25" customHeight="1">
      <c r="B640" s="10"/>
    </row>
    <row r="641" spans="2:2" ht="14.25" customHeight="1">
      <c r="B641" s="10"/>
    </row>
    <row r="642" spans="2:2" ht="14.25" customHeight="1">
      <c r="B642" s="10"/>
    </row>
    <row r="643" spans="2:2" ht="14.25" customHeight="1">
      <c r="B643" s="10"/>
    </row>
    <row r="644" spans="2:2" ht="14.25" customHeight="1">
      <c r="B644" s="10"/>
    </row>
    <row r="645" spans="2:2" ht="14.25" customHeight="1">
      <c r="B645" s="10"/>
    </row>
    <row r="646" spans="2:2" ht="14.25" customHeight="1">
      <c r="B646" s="10"/>
    </row>
    <row r="647" spans="2:2" ht="14.25" customHeight="1">
      <c r="B647" s="10"/>
    </row>
    <row r="648" spans="2:2" ht="14.25" customHeight="1">
      <c r="B648" s="10"/>
    </row>
    <row r="649" spans="2:2" ht="14.25" customHeight="1">
      <c r="B649" s="10"/>
    </row>
    <row r="650" spans="2:2" ht="14.25" customHeight="1">
      <c r="B650" s="10"/>
    </row>
    <row r="651" spans="2:2" ht="14.25" customHeight="1">
      <c r="B651" s="10"/>
    </row>
    <row r="652" spans="2:2" ht="14.25" customHeight="1">
      <c r="B652" s="10"/>
    </row>
    <row r="653" spans="2:2" ht="14.25" customHeight="1">
      <c r="B653" s="10"/>
    </row>
    <row r="654" spans="2:2" ht="14.25" customHeight="1">
      <c r="B654" s="10"/>
    </row>
    <row r="655" spans="2:2" ht="14.25" customHeight="1">
      <c r="B655" s="10"/>
    </row>
    <row r="656" spans="2:2" ht="14.25" customHeight="1">
      <c r="B656" s="10"/>
    </row>
    <row r="657" spans="2:2" ht="14.25" customHeight="1">
      <c r="B657" s="10"/>
    </row>
    <row r="658" spans="2:2" ht="14.25" customHeight="1">
      <c r="B658" s="10"/>
    </row>
    <row r="659" spans="2:2" ht="14.25" customHeight="1">
      <c r="B659" s="10"/>
    </row>
    <row r="660" spans="2:2" ht="14.25" customHeight="1">
      <c r="B660" s="10"/>
    </row>
    <row r="661" spans="2:2" ht="14.25" customHeight="1">
      <c r="B661" s="10"/>
    </row>
    <row r="662" spans="2:2" ht="14.25" customHeight="1">
      <c r="B662" s="10"/>
    </row>
    <row r="663" spans="2:2" ht="14.25" customHeight="1">
      <c r="B663" s="10"/>
    </row>
    <row r="664" spans="2:2" ht="14.25" customHeight="1">
      <c r="B664" s="10"/>
    </row>
    <row r="665" spans="2:2" ht="14.25" customHeight="1">
      <c r="B665" s="10"/>
    </row>
    <row r="666" spans="2:2" ht="14.25" customHeight="1">
      <c r="B666" s="10"/>
    </row>
    <row r="667" spans="2:2" ht="14.25" customHeight="1">
      <c r="B667" s="10"/>
    </row>
    <row r="668" spans="2:2" ht="14.25" customHeight="1">
      <c r="B668" s="10"/>
    </row>
    <row r="669" spans="2:2" ht="14.25" customHeight="1">
      <c r="B669" s="10"/>
    </row>
    <row r="670" spans="2:2" ht="14.25" customHeight="1">
      <c r="B670" s="10"/>
    </row>
    <row r="671" spans="2:2" ht="14.25" customHeight="1">
      <c r="B671" s="10"/>
    </row>
    <row r="672" spans="2:2" ht="14.25" customHeight="1">
      <c r="B672" s="10"/>
    </row>
    <row r="673" spans="2:2" ht="14.25" customHeight="1">
      <c r="B673" s="10"/>
    </row>
    <row r="674" spans="2:2" ht="14.25" customHeight="1">
      <c r="B674" s="10"/>
    </row>
    <row r="675" spans="2:2" ht="14.25" customHeight="1">
      <c r="B675" s="10"/>
    </row>
    <row r="676" spans="2:2" ht="14.25" customHeight="1">
      <c r="B676" s="10"/>
    </row>
    <row r="677" spans="2:2" ht="14.25" customHeight="1">
      <c r="B677" s="10"/>
    </row>
    <row r="678" spans="2:2" ht="14.25" customHeight="1">
      <c r="B678" s="10"/>
    </row>
    <row r="679" spans="2:2" ht="14.25" customHeight="1">
      <c r="B679" s="10"/>
    </row>
    <row r="680" spans="2:2" ht="14.25" customHeight="1">
      <c r="B680" s="10"/>
    </row>
    <row r="681" spans="2:2" ht="14.25" customHeight="1">
      <c r="B681" s="10"/>
    </row>
    <row r="682" spans="2:2" ht="14.25" customHeight="1">
      <c r="B682" s="10"/>
    </row>
    <row r="683" spans="2:2" ht="14.25" customHeight="1">
      <c r="B683" s="10"/>
    </row>
    <row r="684" spans="2:2" ht="14.25" customHeight="1">
      <c r="B684" s="10"/>
    </row>
    <row r="685" spans="2:2" ht="14.25" customHeight="1">
      <c r="B685" s="10"/>
    </row>
    <row r="686" spans="2:2" ht="14.25" customHeight="1">
      <c r="B686" s="10"/>
    </row>
    <row r="687" spans="2:2" ht="14.25" customHeight="1">
      <c r="B687" s="10"/>
    </row>
    <row r="688" spans="2:2" ht="14.25" customHeight="1">
      <c r="B688" s="10"/>
    </row>
    <row r="689" spans="2:2" ht="14.25" customHeight="1">
      <c r="B689" s="10"/>
    </row>
    <row r="690" spans="2:2" ht="14.25" customHeight="1">
      <c r="B690" s="10"/>
    </row>
    <row r="691" spans="2:2" ht="14.25" customHeight="1">
      <c r="B691" s="10"/>
    </row>
    <row r="692" spans="2:2" ht="14.25" customHeight="1">
      <c r="B692" s="10"/>
    </row>
    <row r="693" spans="2:2" ht="14.25" customHeight="1">
      <c r="B693" s="10"/>
    </row>
    <row r="694" spans="2:2" ht="14.25" customHeight="1">
      <c r="B694" s="10"/>
    </row>
    <row r="695" spans="2:2" ht="14.25" customHeight="1">
      <c r="B695" s="10"/>
    </row>
    <row r="696" spans="2:2" ht="14.25" customHeight="1">
      <c r="B696" s="10"/>
    </row>
    <row r="697" spans="2:2" ht="14.25" customHeight="1">
      <c r="B697" s="10"/>
    </row>
    <row r="698" spans="2:2" ht="14.25" customHeight="1">
      <c r="B698" s="10"/>
    </row>
    <row r="699" spans="2:2" ht="14.25" customHeight="1">
      <c r="B699" s="10"/>
    </row>
    <row r="700" spans="2:2" ht="14.25" customHeight="1">
      <c r="B700" s="10"/>
    </row>
    <row r="701" spans="2:2" ht="14.25" customHeight="1">
      <c r="B701" s="10"/>
    </row>
    <row r="702" spans="2:2" ht="14.25" customHeight="1">
      <c r="B702" s="10"/>
    </row>
    <row r="703" spans="2:2" ht="14.25" customHeight="1">
      <c r="B703" s="10"/>
    </row>
    <row r="704" spans="2:2" ht="14.25" customHeight="1">
      <c r="B704" s="10"/>
    </row>
    <row r="705" spans="2:2" ht="14.25" customHeight="1">
      <c r="B705" s="10"/>
    </row>
    <row r="706" spans="2:2" ht="14.25" customHeight="1">
      <c r="B706" s="10"/>
    </row>
    <row r="707" spans="2:2" ht="14.25" customHeight="1">
      <c r="B707" s="10"/>
    </row>
    <row r="708" spans="2:2" ht="14.25" customHeight="1">
      <c r="B708" s="10"/>
    </row>
    <row r="709" spans="2:2" ht="14.25" customHeight="1">
      <c r="B709" s="10"/>
    </row>
    <row r="710" spans="2:2" ht="14.25" customHeight="1">
      <c r="B710" s="10"/>
    </row>
    <row r="711" spans="2:2" ht="14.25" customHeight="1">
      <c r="B711" s="10"/>
    </row>
    <row r="712" spans="2:2" ht="14.25" customHeight="1">
      <c r="B712" s="10"/>
    </row>
    <row r="713" spans="2:2" ht="14.25" customHeight="1">
      <c r="B713" s="10"/>
    </row>
    <row r="714" spans="2:2" ht="14.25" customHeight="1">
      <c r="B714" s="10"/>
    </row>
    <row r="715" spans="2:2" ht="14.25" customHeight="1">
      <c r="B715" s="10"/>
    </row>
    <row r="716" spans="2:2" ht="14.25" customHeight="1">
      <c r="B716" s="10"/>
    </row>
    <row r="717" spans="2:2" ht="14.25" customHeight="1">
      <c r="B717" s="10"/>
    </row>
    <row r="718" spans="2:2" ht="14.25" customHeight="1">
      <c r="B718" s="10"/>
    </row>
    <row r="719" spans="2:2" ht="14.25" customHeight="1">
      <c r="B719" s="10"/>
    </row>
    <row r="720" spans="2:2" ht="14.25" customHeight="1">
      <c r="B720" s="10"/>
    </row>
    <row r="721" spans="2:2" ht="14.25" customHeight="1">
      <c r="B721" s="10"/>
    </row>
    <row r="722" spans="2:2" ht="14.25" customHeight="1">
      <c r="B722" s="10"/>
    </row>
    <row r="723" spans="2:2" ht="14.25" customHeight="1">
      <c r="B723" s="10"/>
    </row>
    <row r="724" spans="2:2" ht="14.25" customHeight="1">
      <c r="B724" s="10"/>
    </row>
    <row r="725" spans="2:2" ht="14.25" customHeight="1">
      <c r="B725" s="10"/>
    </row>
    <row r="726" spans="2:2" ht="14.25" customHeight="1">
      <c r="B726" s="10"/>
    </row>
    <row r="727" spans="2:2" ht="14.25" customHeight="1">
      <c r="B727" s="10"/>
    </row>
    <row r="728" spans="2:2" ht="14.25" customHeight="1">
      <c r="B728" s="10"/>
    </row>
    <row r="729" spans="2:2" ht="14.25" customHeight="1">
      <c r="B729" s="10"/>
    </row>
    <row r="730" spans="2:2" ht="14.25" customHeight="1">
      <c r="B730" s="10"/>
    </row>
    <row r="731" spans="2:2" ht="14.25" customHeight="1">
      <c r="B731" s="10"/>
    </row>
    <row r="732" spans="2:2" ht="14.25" customHeight="1">
      <c r="B732" s="10"/>
    </row>
    <row r="733" spans="2:2" ht="14.25" customHeight="1">
      <c r="B733" s="10"/>
    </row>
    <row r="734" spans="2:2" ht="14.25" customHeight="1">
      <c r="B734" s="10"/>
    </row>
    <row r="735" spans="2:2" ht="14.25" customHeight="1">
      <c r="B735" s="10"/>
    </row>
    <row r="736" spans="2:2" ht="14.25" customHeight="1">
      <c r="B736" s="10"/>
    </row>
    <row r="737" spans="2:2" ht="14.25" customHeight="1">
      <c r="B737" s="10"/>
    </row>
    <row r="738" spans="2:2" ht="14.25" customHeight="1">
      <c r="B738" s="10"/>
    </row>
    <row r="739" spans="2:2" ht="14.25" customHeight="1">
      <c r="B739" s="10"/>
    </row>
    <row r="740" spans="2:2" ht="14.25" customHeight="1">
      <c r="B740" s="10"/>
    </row>
    <row r="741" spans="2:2" ht="14.25" customHeight="1">
      <c r="B741" s="10"/>
    </row>
    <row r="742" spans="2:2" ht="14.25" customHeight="1">
      <c r="B742" s="10"/>
    </row>
    <row r="743" spans="2:2" ht="14.25" customHeight="1">
      <c r="B743" s="10"/>
    </row>
    <row r="744" spans="2:2" ht="14.25" customHeight="1">
      <c r="B744" s="10"/>
    </row>
    <row r="745" spans="2:2" ht="14.25" customHeight="1">
      <c r="B745" s="10"/>
    </row>
    <row r="746" spans="2:2" ht="14.25" customHeight="1">
      <c r="B746" s="10"/>
    </row>
    <row r="747" spans="2:2" ht="14.25" customHeight="1">
      <c r="B747" s="10"/>
    </row>
    <row r="748" spans="2:2" ht="14.25" customHeight="1">
      <c r="B748" s="10"/>
    </row>
    <row r="749" spans="2:2" ht="14.25" customHeight="1">
      <c r="B749" s="10"/>
    </row>
    <row r="750" spans="2:2" ht="14.25" customHeight="1">
      <c r="B750" s="10"/>
    </row>
    <row r="751" spans="2:2" ht="14.25" customHeight="1">
      <c r="B751" s="10"/>
    </row>
    <row r="752" spans="2:2" ht="14.25" customHeight="1">
      <c r="B752" s="10"/>
    </row>
    <row r="753" spans="2:2" ht="14.25" customHeight="1">
      <c r="B753" s="10"/>
    </row>
    <row r="754" spans="2:2" ht="14.25" customHeight="1">
      <c r="B754" s="10"/>
    </row>
    <row r="755" spans="2:2" ht="14.25" customHeight="1">
      <c r="B755" s="10"/>
    </row>
    <row r="756" spans="2:2" ht="14.25" customHeight="1">
      <c r="B756" s="10"/>
    </row>
    <row r="757" spans="2:2" ht="14.25" customHeight="1">
      <c r="B757" s="10"/>
    </row>
    <row r="758" spans="2:2" ht="14.25" customHeight="1">
      <c r="B758" s="10"/>
    </row>
    <row r="759" spans="2:2" ht="14.25" customHeight="1">
      <c r="B759" s="10"/>
    </row>
    <row r="760" spans="2:2" ht="14.25" customHeight="1">
      <c r="B760" s="10"/>
    </row>
    <row r="761" spans="2:2" ht="14.25" customHeight="1">
      <c r="B761" s="10"/>
    </row>
    <row r="762" spans="2:2" ht="14.25" customHeight="1">
      <c r="B762" s="10"/>
    </row>
    <row r="763" spans="2:2" ht="14.25" customHeight="1">
      <c r="B763" s="10"/>
    </row>
    <row r="764" spans="2:2" ht="14.25" customHeight="1">
      <c r="B764" s="10"/>
    </row>
    <row r="765" spans="2:2" ht="14.25" customHeight="1">
      <c r="B765" s="10"/>
    </row>
    <row r="766" spans="2:2" ht="14.25" customHeight="1">
      <c r="B766" s="10"/>
    </row>
    <row r="767" spans="2:2" ht="14.25" customHeight="1">
      <c r="B767" s="10"/>
    </row>
    <row r="768" spans="2:2" ht="14.25" customHeight="1">
      <c r="B768" s="10"/>
    </row>
    <row r="769" spans="2:2" ht="14.25" customHeight="1">
      <c r="B769" s="10"/>
    </row>
    <row r="770" spans="2:2" ht="14.25" customHeight="1">
      <c r="B770" s="10"/>
    </row>
    <row r="771" spans="2:2" ht="14.25" customHeight="1">
      <c r="B771" s="10"/>
    </row>
    <row r="772" spans="2:2" ht="14.25" customHeight="1">
      <c r="B772" s="10"/>
    </row>
    <row r="773" spans="2:2" ht="14.25" customHeight="1">
      <c r="B773" s="10"/>
    </row>
    <row r="774" spans="2:2" ht="14.25" customHeight="1">
      <c r="B774" s="10"/>
    </row>
    <row r="775" spans="2:2" ht="14.25" customHeight="1">
      <c r="B775" s="10"/>
    </row>
    <row r="776" spans="2:2" ht="14.25" customHeight="1">
      <c r="B776" s="10"/>
    </row>
    <row r="777" spans="2:2" ht="14.25" customHeight="1">
      <c r="B777" s="10"/>
    </row>
    <row r="778" spans="2:2" ht="14.25" customHeight="1">
      <c r="B778" s="10"/>
    </row>
    <row r="779" spans="2:2" ht="14.25" customHeight="1">
      <c r="B779" s="10"/>
    </row>
    <row r="780" spans="2:2" ht="14.25" customHeight="1">
      <c r="B780" s="10"/>
    </row>
    <row r="781" spans="2:2" ht="14.25" customHeight="1">
      <c r="B781" s="10"/>
    </row>
    <row r="782" spans="2:2" ht="14.25" customHeight="1">
      <c r="B782" s="10"/>
    </row>
    <row r="783" spans="2:2" ht="14.25" customHeight="1">
      <c r="B783" s="10"/>
    </row>
    <row r="784" spans="2:2" ht="14.25" customHeight="1">
      <c r="B784" s="10"/>
    </row>
    <row r="785" spans="2:2" ht="14.25" customHeight="1">
      <c r="B785" s="10"/>
    </row>
    <row r="786" spans="2:2" ht="14.25" customHeight="1">
      <c r="B786" s="10"/>
    </row>
    <row r="787" spans="2:2" ht="14.25" customHeight="1">
      <c r="B787" s="10"/>
    </row>
    <row r="788" spans="2:2" ht="14.25" customHeight="1">
      <c r="B788" s="10"/>
    </row>
    <row r="789" spans="2:2" ht="14.25" customHeight="1">
      <c r="B789" s="10"/>
    </row>
    <row r="790" spans="2:2" ht="14.25" customHeight="1">
      <c r="B790" s="10"/>
    </row>
    <row r="791" spans="2:2" ht="14.25" customHeight="1">
      <c r="B791" s="10"/>
    </row>
    <row r="792" spans="2:2" ht="14.25" customHeight="1">
      <c r="B792" s="10"/>
    </row>
    <row r="793" spans="2:2" ht="14.25" customHeight="1">
      <c r="B793" s="10"/>
    </row>
    <row r="794" spans="2:2" ht="14.25" customHeight="1">
      <c r="B794" s="10"/>
    </row>
    <row r="795" spans="2:2" ht="14.25" customHeight="1">
      <c r="B795" s="10"/>
    </row>
    <row r="796" spans="2:2" ht="14.25" customHeight="1">
      <c r="B796" s="10"/>
    </row>
    <row r="797" spans="2:2" ht="14.25" customHeight="1">
      <c r="B797" s="10"/>
    </row>
    <row r="798" spans="2:2" ht="14.25" customHeight="1">
      <c r="B798" s="10"/>
    </row>
    <row r="799" spans="2:2" ht="14.25" customHeight="1">
      <c r="B799" s="10"/>
    </row>
    <row r="800" spans="2:2" ht="14.25" customHeight="1">
      <c r="B800" s="10"/>
    </row>
    <row r="801" spans="2:2" ht="14.25" customHeight="1">
      <c r="B801" s="10"/>
    </row>
    <row r="802" spans="2:2" ht="14.25" customHeight="1">
      <c r="B802" s="10"/>
    </row>
    <row r="803" spans="2:2" ht="14.25" customHeight="1">
      <c r="B803" s="10"/>
    </row>
    <row r="804" spans="2:2" ht="14.25" customHeight="1">
      <c r="B804" s="10"/>
    </row>
    <row r="805" spans="2:2" ht="14.25" customHeight="1">
      <c r="B805" s="10"/>
    </row>
    <row r="806" spans="2:2" ht="14.25" customHeight="1">
      <c r="B806" s="10"/>
    </row>
    <row r="807" spans="2:2" ht="14.25" customHeight="1">
      <c r="B807" s="10"/>
    </row>
    <row r="808" spans="2:2" ht="14.25" customHeight="1">
      <c r="B808" s="10"/>
    </row>
    <row r="809" spans="2:2" ht="14.25" customHeight="1">
      <c r="B809" s="10"/>
    </row>
    <row r="810" spans="2:2" ht="14.25" customHeight="1">
      <c r="B810" s="10"/>
    </row>
    <row r="811" spans="2:2" ht="14.25" customHeight="1">
      <c r="B811" s="10"/>
    </row>
    <row r="812" spans="2:2" ht="14.25" customHeight="1">
      <c r="B812" s="10"/>
    </row>
    <row r="813" spans="2:2" ht="14.25" customHeight="1">
      <c r="B813" s="10"/>
    </row>
    <row r="814" spans="2:2" ht="14.25" customHeight="1">
      <c r="B814" s="10"/>
    </row>
    <row r="815" spans="2:2" ht="14.25" customHeight="1">
      <c r="B815" s="10"/>
    </row>
    <row r="816" spans="2:2" ht="14.25" customHeight="1">
      <c r="B816" s="10"/>
    </row>
    <row r="817" spans="2:2" ht="14.25" customHeight="1">
      <c r="B817" s="10"/>
    </row>
    <row r="818" spans="2:2" ht="14.25" customHeight="1">
      <c r="B818" s="10"/>
    </row>
    <row r="819" spans="2:2" ht="14.25" customHeight="1">
      <c r="B819" s="10"/>
    </row>
    <row r="820" spans="2:2" ht="14.25" customHeight="1">
      <c r="B820" s="10"/>
    </row>
    <row r="821" spans="2:2" ht="14.25" customHeight="1">
      <c r="B821" s="10"/>
    </row>
    <row r="822" spans="2:2" ht="14.25" customHeight="1">
      <c r="B822" s="10"/>
    </row>
    <row r="823" spans="2:2" ht="14.25" customHeight="1">
      <c r="B823" s="10"/>
    </row>
    <row r="824" spans="2:2" ht="14.25" customHeight="1">
      <c r="B824" s="10"/>
    </row>
    <row r="825" spans="2:2" ht="14.25" customHeight="1">
      <c r="B825" s="10"/>
    </row>
    <row r="826" spans="2:2" ht="14.25" customHeight="1">
      <c r="B826" s="10"/>
    </row>
    <row r="827" spans="2:2" ht="14.25" customHeight="1">
      <c r="B827" s="10"/>
    </row>
    <row r="828" spans="2:2" ht="14.25" customHeight="1">
      <c r="B828" s="10"/>
    </row>
    <row r="829" spans="2:2" ht="14.25" customHeight="1">
      <c r="B829" s="10"/>
    </row>
    <row r="830" spans="2:2" ht="14.25" customHeight="1">
      <c r="B830" s="10"/>
    </row>
    <row r="831" spans="2:2" ht="14.25" customHeight="1">
      <c r="B831" s="10"/>
    </row>
    <row r="832" spans="2:2" ht="14.25" customHeight="1">
      <c r="B832" s="10"/>
    </row>
    <row r="833" spans="2:2" ht="14.25" customHeight="1">
      <c r="B833" s="10"/>
    </row>
    <row r="834" spans="2:2" ht="14.25" customHeight="1">
      <c r="B834" s="10"/>
    </row>
    <row r="835" spans="2:2" ht="14.25" customHeight="1">
      <c r="B835" s="10"/>
    </row>
    <row r="836" spans="2:2" ht="14.25" customHeight="1">
      <c r="B836" s="10"/>
    </row>
    <row r="837" spans="2:2" ht="14.25" customHeight="1">
      <c r="B837" s="10"/>
    </row>
    <row r="838" spans="2:2" ht="14.25" customHeight="1">
      <c r="B838" s="10"/>
    </row>
    <row r="839" spans="2:2" ht="14.25" customHeight="1">
      <c r="B839" s="10"/>
    </row>
    <row r="840" spans="2:2" ht="14.25" customHeight="1">
      <c r="B840" s="10"/>
    </row>
    <row r="841" spans="2:2" ht="14.25" customHeight="1">
      <c r="B841" s="10"/>
    </row>
    <row r="842" spans="2:2" ht="14.25" customHeight="1">
      <c r="B842" s="10"/>
    </row>
    <row r="843" spans="2:2" ht="14.25" customHeight="1">
      <c r="B843" s="10"/>
    </row>
    <row r="844" spans="2:2" ht="14.25" customHeight="1">
      <c r="B844" s="10"/>
    </row>
    <row r="845" spans="2:2" ht="14.25" customHeight="1">
      <c r="B845" s="10"/>
    </row>
    <row r="846" spans="2:2" ht="14.25" customHeight="1">
      <c r="B846" s="10"/>
    </row>
    <row r="847" spans="2:2" ht="14.25" customHeight="1">
      <c r="B847" s="10"/>
    </row>
    <row r="848" spans="2:2" ht="14.25" customHeight="1">
      <c r="B848" s="10"/>
    </row>
    <row r="849" spans="2:2" ht="14.25" customHeight="1">
      <c r="B849" s="10"/>
    </row>
    <row r="850" spans="2:2" ht="14.25" customHeight="1">
      <c r="B850" s="10"/>
    </row>
    <row r="851" spans="2:2" ht="14.25" customHeight="1">
      <c r="B851" s="10"/>
    </row>
    <row r="852" spans="2:2" ht="14.25" customHeight="1">
      <c r="B852" s="10"/>
    </row>
    <row r="853" spans="2:2" ht="14.25" customHeight="1">
      <c r="B853" s="10"/>
    </row>
    <row r="854" spans="2:2" ht="14.25" customHeight="1">
      <c r="B854" s="10"/>
    </row>
    <row r="855" spans="2:2" ht="14.25" customHeight="1">
      <c r="B855" s="10"/>
    </row>
    <row r="856" spans="2:2" ht="14.25" customHeight="1">
      <c r="B856" s="10"/>
    </row>
    <row r="857" spans="2:2" ht="14.25" customHeight="1">
      <c r="B857" s="10"/>
    </row>
    <row r="858" spans="2:2" ht="14.25" customHeight="1">
      <c r="B858" s="10"/>
    </row>
    <row r="859" spans="2:2" ht="14.25" customHeight="1">
      <c r="B859" s="10"/>
    </row>
    <row r="860" spans="2:2" ht="14.25" customHeight="1">
      <c r="B860" s="10"/>
    </row>
    <row r="861" spans="2:2" ht="14.25" customHeight="1">
      <c r="B861" s="10"/>
    </row>
    <row r="862" spans="2:2" ht="14.25" customHeight="1">
      <c r="B862" s="10"/>
    </row>
    <row r="863" spans="2:2" ht="14.25" customHeight="1">
      <c r="B863" s="10"/>
    </row>
    <row r="864" spans="2:2" ht="14.25" customHeight="1">
      <c r="B864" s="10"/>
    </row>
    <row r="865" spans="2:2" ht="14.25" customHeight="1">
      <c r="B865" s="10"/>
    </row>
    <row r="866" spans="2:2" ht="14.25" customHeight="1">
      <c r="B866" s="10"/>
    </row>
    <row r="867" spans="2:2" ht="14.25" customHeight="1">
      <c r="B867" s="10"/>
    </row>
    <row r="868" spans="2:2" ht="14.25" customHeight="1">
      <c r="B868" s="10"/>
    </row>
    <row r="869" spans="2:2" ht="14.25" customHeight="1">
      <c r="B869" s="10"/>
    </row>
    <row r="870" spans="2:2" ht="14.25" customHeight="1">
      <c r="B870" s="10"/>
    </row>
    <row r="871" spans="2:2" ht="14.25" customHeight="1">
      <c r="B871" s="10"/>
    </row>
    <row r="872" spans="2:2" ht="14.25" customHeight="1">
      <c r="B872" s="10"/>
    </row>
    <row r="873" spans="2:2" ht="14.25" customHeight="1">
      <c r="B873" s="10"/>
    </row>
    <row r="874" spans="2:2" ht="14.25" customHeight="1">
      <c r="B874" s="10"/>
    </row>
    <row r="875" spans="2:2" ht="14.25" customHeight="1">
      <c r="B875" s="10"/>
    </row>
    <row r="876" spans="2:2" ht="14.25" customHeight="1">
      <c r="B876" s="10"/>
    </row>
    <row r="877" spans="2:2" ht="14.25" customHeight="1">
      <c r="B877" s="10"/>
    </row>
    <row r="878" spans="2:2" ht="14.25" customHeight="1">
      <c r="B878" s="10"/>
    </row>
    <row r="879" spans="2:2" ht="14.25" customHeight="1">
      <c r="B879" s="10"/>
    </row>
    <row r="880" spans="2:2" ht="14.25" customHeight="1">
      <c r="B880" s="10"/>
    </row>
    <row r="881" spans="2:2" ht="14.25" customHeight="1">
      <c r="B881" s="10"/>
    </row>
    <row r="882" spans="2:2" ht="14.25" customHeight="1">
      <c r="B882" s="10"/>
    </row>
    <row r="883" spans="2:2" ht="14.25" customHeight="1">
      <c r="B883" s="10"/>
    </row>
    <row r="884" spans="2:2" ht="14.25" customHeight="1">
      <c r="B884" s="10"/>
    </row>
    <row r="885" spans="2:2" ht="14.25" customHeight="1">
      <c r="B885" s="10"/>
    </row>
    <row r="886" spans="2:2" ht="14.25" customHeight="1">
      <c r="B886" s="10"/>
    </row>
    <row r="887" spans="2:2" ht="14.25" customHeight="1">
      <c r="B887" s="10"/>
    </row>
    <row r="888" spans="2:2" ht="14.25" customHeight="1">
      <c r="B888" s="10"/>
    </row>
    <row r="889" spans="2:2" ht="14.25" customHeight="1">
      <c r="B889" s="10"/>
    </row>
    <row r="890" spans="2:2" ht="14.25" customHeight="1">
      <c r="B890" s="10"/>
    </row>
    <row r="891" spans="2:2" ht="14.25" customHeight="1">
      <c r="B891" s="10"/>
    </row>
    <row r="892" spans="2:2" ht="14.25" customHeight="1">
      <c r="B892" s="10"/>
    </row>
    <row r="893" spans="2:2" ht="14.25" customHeight="1">
      <c r="B893" s="10"/>
    </row>
    <row r="894" spans="2:2" ht="14.25" customHeight="1">
      <c r="B894" s="10"/>
    </row>
    <row r="895" spans="2:2" ht="14.25" customHeight="1">
      <c r="B895" s="10"/>
    </row>
    <row r="896" spans="2:2" ht="14.25" customHeight="1">
      <c r="B896" s="10"/>
    </row>
    <row r="897" spans="2:2" ht="14.25" customHeight="1">
      <c r="B897" s="10"/>
    </row>
    <row r="898" spans="2:2" ht="14.25" customHeight="1">
      <c r="B898" s="10"/>
    </row>
    <row r="899" spans="2:2" ht="14.25" customHeight="1">
      <c r="B899" s="10"/>
    </row>
    <row r="900" spans="2:2" ht="14.25" customHeight="1">
      <c r="B900" s="10"/>
    </row>
    <row r="901" spans="2:2" ht="14.25" customHeight="1">
      <c r="B901" s="10"/>
    </row>
    <row r="902" spans="2:2" ht="14.25" customHeight="1">
      <c r="B902" s="10"/>
    </row>
    <row r="903" spans="2:2" ht="14.25" customHeight="1">
      <c r="B903" s="10"/>
    </row>
    <row r="904" spans="2:2" ht="14.25" customHeight="1">
      <c r="B904" s="10"/>
    </row>
    <row r="905" spans="2:2" ht="14.25" customHeight="1">
      <c r="B905" s="10"/>
    </row>
    <row r="906" spans="2:2" ht="14.25" customHeight="1">
      <c r="B906" s="10"/>
    </row>
    <row r="907" spans="2:2" ht="14.25" customHeight="1">
      <c r="B907" s="10"/>
    </row>
    <row r="908" spans="2:2" ht="14.25" customHeight="1">
      <c r="B908" s="10"/>
    </row>
    <row r="909" spans="2:2" ht="14.25" customHeight="1">
      <c r="B909" s="10"/>
    </row>
    <row r="910" spans="2:2" ht="14.25" customHeight="1">
      <c r="B910" s="10"/>
    </row>
    <row r="911" spans="2:2" ht="14.25" customHeight="1">
      <c r="B911" s="10"/>
    </row>
    <row r="912" spans="2:2" ht="14.25" customHeight="1">
      <c r="B912" s="10"/>
    </row>
    <row r="913" spans="2:2" ht="14.25" customHeight="1">
      <c r="B913" s="10"/>
    </row>
    <row r="914" spans="2:2" ht="14.25" customHeight="1">
      <c r="B914" s="10"/>
    </row>
    <row r="915" spans="2:2" ht="14.25" customHeight="1">
      <c r="B915" s="10"/>
    </row>
    <row r="916" spans="2:2" ht="14.25" customHeight="1">
      <c r="B916" s="10"/>
    </row>
    <row r="917" spans="2:2" ht="14.25" customHeight="1">
      <c r="B917" s="10"/>
    </row>
    <row r="918" spans="2:2" ht="14.25" customHeight="1">
      <c r="B918" s="10"/>
    </row>
    <row r="919" spans="2:2" ht="14.25" customHeight="1">
      <c r="B919" s="10"/>
    </row>
    <row r="920" spans="2:2" ht="14.25" customHeight="1">
      <c r="B920" s="10"/>
    </row>
    <row r="921" spans="2:2" ht="14.25" customHeight="1">
      <c r="B921" s="10"/>
    </row>
    <row r="922" spans="2:2" ht="14.25" customHeight="1">
      <c r="B922" s="10"/>
    </row>
    <row r="923" spans="2:2" ht="14.25" customHeight="1">
      <c r="B923" s="10"/>
    </row>
    <row r="924" spans="2:2" ht="14.25" customHeight="1">
      <c r="B924" s="10"/>
    </row>
    <row r="925" spans="2:2" ht="14.25" customHeight="1">
      <c r="B925" s="10"/>
    </row>
    <row r="926" spans="2:2" ht="14.25" customHeight="1">
      <c r="B926" s="10"/>
    </row>
    <row r="927" spans="2:2" ht="14.25" customHeight="1">
      <c r="B927" s="10"/>
    </row>
    <row r="928" spans="2:2" ht="14.25" customHeight="1">
      <c r="B928" s="10"/>
    </row>
    <row r="929" spans="2:2" ht="14.25" customHeight="1">
      <c r="B929" s="10"/>
    </row>
    <row r="930" spans="2:2" ht="14.25" customHeight="1">
      <c r="B930" s="10"/>
    </row>
    <row r="931" spans="2:2" ht="14.25" customHeight="1">
      <c r="B931" s="10"/>
    </row>
    <row r="932" spans="2:2" ht="14.25" customHeight="1">
      <c r="B932" s="10"/>
    </row>
    <row r="933" spans="2:2" ht="14.25" customHeight="1">
      <c r="B933" s="10"/>
    </row>
    <row r="934" spans="2:2" ht="14.25" customHeight="1">
      <c r="B934" s="10"/>
    </row>
    <row r="935" spans="2:2" ht="14.25" customHeight="1">
      <c r="B935" s="10"/>
    </row>
    <row r="936" spans="2:2" ht="14.25" customHeight="1">
      <c r="B936" s="10"/>
    </row>
    <row r="937" spans="2:2" ht="14.25" customHeight="1">
      <c r="B937" s="10"/>
    </row>
    <row r="938" spans="2:2" ht="14.25" customHeight="1">
      <c r="B938" s="10"/>
    </row>
    <row r="939" spans="2:2" ht="14.25" customHeight="1">
      <c r="B939" s="10"/>
    </row>
    <row r="940" spans="2:2" ht="14.25" customHeight="1">
      <c r="B940" s="10"/>
    </row>
    <row r="941" spans="2:2" ht="14.25" customHeight="1">
      <c r="B941" s="10"/>
    </row>
    <row r="942" spans="2:2" ht="14.25" customHeight="1">
      <c r="B942" s="10"/>
    </row>
    <row r="943" spans="2:2" ht="14.25" customHeight="1">
      <c r="B943" s="10"/>
    </row>
    <row r="944" spans="2:2" ht="14.25" customHeight="1">
      <c r="B944" s="10"/>
    </row>
    <row r="945" spans="2:2" ht="14.25" customHeight="1">
      <c r="B945" s="10"/>
    </row>
    <row r="946" spans="2:2" ht="14.25" customHeight="1">
      <c r="B946" s="10"/>
    </row>
    <row r="947" spans="2:2" ht="14.25" customHeight="1">
      <c r="B947" s="10"/>
    </row>
    <row r="948" spans="2:2" ht="14.25" customHeight="1">
      <c r="B948" s="10"/>
    </row>
    <row r="949" spans="2:2" ht="14.25" customHeight="1">
      <c r="B949" s="10"/>
    </row>
    <row r="950" spans="2:2" ht="14.25" customHeight="1">
      <c r="B950" s="10"/>
    </row>
    <row r="951" spans="2:2" ht="14.25" customHeight="1">
      <c r="B951" s="10"/>
    </row>
    <row r="952" spans="2:2" ht="14.25" customHeight="1">
      <c r="B952" s="10"/>
    </row>
    <row r="953" spans="2:2" ht="14.25" customHeight="1">
      <c r="B953" s="10"/>
    </row>
    <row r="954" spans="2:2" ht="14.25" customHeight="1">
      <c r="B954" s="10"/>
    </row>
    <row r="955" spans="2:2" ht="14.25" customHeight="1">
      <c r="B955" s="10"/>
    </row>
    <row r="956" spans="2:2" ht="14.25" customHeight="1">
      <c r="B956" s="10"/>
    </row>
    <row r="957" spans="2:2" ht="14.25" customHeight="1">
      <c r="B957" s="10"/>
    </row>
    <row r="958" spans="2:2" ht="14.25" customHeight="1">
      <c r="B958" s="10"/>
    </row>
    <row r="959" spans="2:2" ht="14.25" customHeight="1">
      <c r="B959" s="10"/>
    </row>
    <row r="960" spans="2:2" ht="14.25" customHeight="1">
      <c r="B960" s="10"/>
    </row>
    <row r="961" spans="2:2" ht="14.25" customHeight="1">
      <c r="B961" s="10"/>
    </row>
    <row r="962" spans="2:2" ht="14.25" customHeight="1">
      <c r="B962" s="10"/>
    </row>
    <row r="963" spans="2:2" ht="14.25" customHeight="1">
      <c r="B963" s="10"/>
    </row>
    <row r="964" spans="2:2" ht="14.25" customHeight="1">
      <c r="B964" s="10"/>
    </row>
    <row r="965" spans="2:2" ht="14.25" customHeight="1">
      <c r="B965" s="10"/>
    </row>
    <row r="966" spans="2:2" ht="14.25" customHeight="1">
      <c r="B966" s="10"/>
    </row>
    <row r="967" spans="2:2" ht="14.25" customHeight="1">
      <c r="B967" s="10"/>
    </row>
    <row r="968" spans="2:2" ht="14.25" customHeight="1">
      <c r="B968" s="10"/>
    </row>
    <row r="969" spans="2:2" ht="14.25" customHeight="1">
      <c r="B969" s="10"/>
    </row>
    <row r="970" spans="2:2" ht="14.25" customHeight="1">
      <c r="B970" s="10"/>
    </row>
    <row r="971" spans="2:2" ht="14.25" customHeight="1">
      <c r="B971" s="10"/>
    </row>
    <row r="972" spans="2:2" ht="14.25" customHeight="1">
      <c r="B972" s="10"/>
    </row>
    <row r="973" spans="2:2" ht="14.25" customHeight="1">
      <c r="B973" s="10"/>
    </row>
    <row r="974" spans="2:2" ht="14.25" customHeight="1">
      <c r="B974" s="10"/>
    </row>
    <row r="975" spans="2:2" ht="14.25" customHeight="1">
      <c r="B975" s="10"/>
    </row>
    <row r="976" spans="2:2" ht="14.25" customHeight="1">
      <c r="B976" s="10"/>
    </row>
    <row r="977" spans="2:2" ht="14.25" customHeight="1">
      <c r="B977" s="10"/>
    </row>
    <row r="978" spans="2:2" ht="14.25" customHeight="1">
      <c r="B978" s="10"/>
    </row>
    <row r="979" spans="2:2" ht="14.25" customHeight="1">
      <c r="B979" s="10"/>
    </row>
    <row r="980" spans="2:2" ht="14.25" customHeight="1">
      <c r="B980" s="10"/>
    </row>
    <row r="981" spans="2:2" ht="14.25" customHeight="1">
      <c r="B981" s="10"/>
    </row>
    <row r="982" spans="2:2" ht="14.25" customHeight="1">
      <c r="B982" s="10"/>
    </row>
    <row r="983" spans="2:2" ht="14.25" customHeight="1">
      <c r="B983" s="10"/>
    </row>
    <row r="984" spans="2:2" ht="14.25" customHeight="1">
      <c r="B984" s="10"/>
    </row>
    <row r="985" spans="2:2" ht="14.25" customHeight="1">
      <c r="B985" s="10"/>
    </row>
    <row r="986" spans="2:2" ht="14.25" customHeight="1">
      <c r="B986" s="10"/>
    </row>
    <row r="987" spans="2:2" ht="14.25" customHeight="1">
      <c r="B987" s="10"/>
    </row>
    <row r="988" spans="2:2" ht="14.25" customHeight="1">
      <c r="B988" s="10"/>
    </row>
    <row r="989" spans="2:2" ht="14.25" customHeight="1">
      <c r="B989" s="10"/>
    </row>
    <row r="990" spans="2:2" ht="14.25" customHeight="1">
      <c r="B990" s="10"/>
    </row>
    <row r="991" spans="2:2" ht="14.25" customHeight="1">
      <c r="B991" s="10"/>
    </row>
    <row r="992" spans="2:2" ht="14.25" customHeight="1">
      <c r="B992" s="10"/>
    </row>
    <row r="993" spans="2:2" ht="14.25" customHeight="1">
      <c r="B993" s="10"/>
    </row>
    <row r="994" spans="2:2" ht="14.25" customHeight="1">
      <c r="B994" s="10"/>
    </row>
    <row r="995" spans="2:2" ht="14.25" customHeight="1">
      <c r="B995" s="10"/>
    </row>
    <row r="996" spans="2:2" ht="14.25" customHeight="1">
      <c r="B996" s="10"/>
    </row>
    <row r="997" spans="2:2" ht="14.25" customHeight="1">
      <c r="B997" s="10"/>
    </row>
    <row r="998" spans="2:2" ht="14.25" customHeight="1">
      <c r="B998" s="10"/>
    </row>
    <row r="999" spans="2:2" ht="14.25" customHeight="1">
      <c r="B999" s="10"/>
    </row>
    <row r="1000" spans="2:2" ht="14.25" customHeight="1">
      <c r="B1000" s="10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41"/>
  <sheetViews>
    <sheetView workbookViewId="0"/>
  </sheetViews>
  <sheetFormatPr defaultColWidth="14.44140625" defaultRowHeight="15" customHeight="1"/>
  <cols>
    <col min="14" max="14" width="56.88671875" customWidth="1"/>
    <col min="15" max="15" width="24.6640625" customWidth="1"/>
  </cols>
  <sheetData>
    <row r="1" spans="1:15">
      <c r="A1" s="12" t="s">
        <v>86</v>
      </c>
      <c r="B1" s="12" t="s">
        <v>2</v>
      </c>
      <c r="C1" s="12" t="s">
        <v>4</v>
      </c>
      <c r="D1" s="12" t="s">
        <v>88</v>
      </c>
      <c r="E1" s="12" t="s">
        <v>89</v>
      </c>
      <c r="F1" s="12" t="s">
        <v>90</v>
      </c>
      <c r="G1" s="12" t="s">
        <v>13</v>
      </c>
      <c r="H1" s="12" t="s">
        <v>92</v>
      </c>
      <c r="I1" s="12" t="s">
        <v>93</v>
      </c>
      <c r="J1" s="12" t="s">
        <v>94</v>
      </c>
    </row>
    <row r="2" spans="1:15">
      <c r="A2" s="13" t="s">
        <v>96</v>
      </c>
      <c r="B2" s="13" t="s">
        <v>97</v>
      </c>
      <c r="C2" s="13" t="s">
        <v>13</v>
      </c>
      <c r="D2" s="14">
        <v>45306</v>
      </c>
      <c r="E2" s="15">
        <v>0.37847222222222221</v>
      </c>
      <c r="F2" s="15">
        <v>0.75694444444444442</v>
      </c>
      <c r="G2" s="13">
        <v>52000</v>
      </c>
      <c r="H2" s="13">
        <v>50000</v>
      </c>
      <c r="I2" s="17" t="s">
        <v>99</v>
      </c>
      <c r="J2" s="13" t="s">
        <v>107</v>
      </c>
      <c r="N2" s="12" t="s">
        <v>109</v>
      </c>
      <c r="O2" s="12" t="s">
        <v>110</v>
      </c>
    </row>
    <row r="3" spans="1:15">
      <c r="A3" s="13" t="s">
        <v>112</v>
      </c>
      <c r="B3" s="13" t="s">
        <v>113</v>
      </c>
      <c r="C3" s="13" t="s">
        <v>79</v>
      </c>
      <c r="D3" s="14">
        <v>45332</v>
      </c>
      <c r="E3" s="15">
        <v>0.37152777777777779</v>
      </c>
      <c r="F3" s="15">
        <v>0.74305555555555558</v>
      </c>
      <c r="G3" s="13">
        <v>35000</v>
      </c>
      <c r="H3" s="13">
        <v>40000</v>
      </c>
      <c r="I3" s="17" t="s">
        <v>117</v>
      </c>
      <c r="J3" s="13" t="s">
        <v>124</v>
      </c>
      <c r="N3" s="13" t="s">
        <v>125</v>
      </c>
    </row>
    <row r="4" spans="1:15">
      <c r="A4" s="13" t="s">
        <v>128</v>
      </c>
      <c r="B4" s="13" t="s">
        <v>130</v>
      </c>
      <c r="C4" s="13" t="s">
        <v>13</v>
      </c>
      <c r="D4" s="14">
        <v>45371</v>
      </c>
      <c r="E4" s="15">
        <v>0.3888888888888889</v>
      </c>
      <c r="F4" s="15">
        <v>0.76736111111111116</v>
      </c>
      <c r="G4" s="13">
        <v>62000</v>
      </c>
      <c r="H4" s="13">
        <v>60000</v>
      </c>
      <c r="I4" s="17" t="s">
        <v>134</v>
      </c>
      <c r="J4" s="13" t="s">
        <v>138</v>
      </c>
      <c r="N4" s="13" t="s">
        <v>140</v>
      </c>
    </row>
    <row r="5" spans="1:15">
      <c r="A5" s="13" t="s">
        <v>143</v>
      </c>
      <c r="B5" s="13" t="s">
        <v>144</v>
      </c>
      <c r="C5" s="13" t="s">
        <v>25</v>
      </c>
      <c r="D5" s="20">
        <v>45387</v>
      </c>
      <c r="E5" s="15">
        <v>0.36458333333333331</v>
      </c>
      <c r="F5" s="15">
        <v>0.73611111111111116</v>
      </c>
      <c r="G5" s="13">
        <v>45000</v>
      </c>
      <c r="H5" s="13">
        <v>50000</v>
      </c>
      <c r="I5" s="17" t="s">
        <v>148</v>
      </c>
      <c r="J5" s="13" t="s">
        <v>151</v>
      </c>
      <c r="N5" s="13" t="s">
        <v>153</v>
      </c>
    </row>
    <row r="6" spans="1:15">
      <c r="A6" s="13" t="s">
        <v>156</v>
      </c>
      <c r="B6" s="13" t="s">
        <v>158</v>
      </c>
      <c r="C6" s="13" t="s">
        <v>16</v>
      </c>
      <c r="D6" s="21">
        <v>45424</v>
      </c>
      <c r="E6" s="15">
        <v>0.38541666666666669</v>
      </c>
      <c r="F6" s="15">
        <v>0.75</v>
      </c>
      <c r="G6" s="13">
        <v>70000</v>
      </c>
      <c r="H6" s="13">
        <v>65000</v>
      </c>
      <c r="I6" s="17" t="s">
        <v>162</v>
      </c>
      <c r="J6" s="13" t="s">
        <v>164</v>
      </c>
      <c r="N6" s="13" t="s">
        <v>165</v>
      </c>
    </row>
    <row r="7" spans="1:15">
      <c r="A7" s="13" t="s">
        <v>166</v>
      </c>
      <c r="B7" s="13" t="s">
        <v>167</v>
      </c>
      <c r="C7" s="13" t="s">
        <v>13</v>
      </c>
      <c r="D7" s="14">
        <v>45461</v>
      </c>
      <c r="E7" s="15">
        <v>0.36805555555555558</v>
      </c>
      <c r="F7" s="15">
        <v>0.74652777777777779</v>
      </c>
      <c r="G7" s="13">
        <v>48000</v>
      </c>
      <c r="H7" s="13">
        <v>50000</v>
      </c>
      <c r="I7" s="17" t="s">
        <v>168</v>
      </c>
      <c r="J7" s="13" t="s">
        <v>169</v>
      </c>
      <c r="N7" s="13" t="s">
        <v>170</v>
      </c>
    </row>
    <row r="8" spans="1:15">
      <c r="A8" s="13" t="s">
        <v>171</v>
      </c>
      <c r="B8" s="13" t="s">
        <v>172</v>
      </c>
      <c r="C8" s="13" t="s">
        <v>25</v>
      </c>
      <c r="D8" s="14">
        <v>45498</v>
      </c>
      <c r="E8" s="15">
        <v>0.38194444444444442</v>
      </c>
      <c r="F8" s="15">
        <v>0.76388888888888884</v>
      </c>
      <c r="G8" s="13">
        <v>56000</v>
      </c>
      <c r="H8" s="13">
        <v>55000</v>
      </c>
      <c r="I8" s="17" t="s">
        <v>173</v>
      </c>
      <c r="J8" s="13" t="s">
        <v>174</v>
      </c>
      <c r="N8" s="13" t="s">
        <v>175</v>
      </c>
    </row>
    <row r="9" spans="1:15">
      <c r="A9" s="13" t="s">
        <v>176</v>
      </c>
      <c r="B9" s="13" t="s">
        <v>177</v>
      </c>
      <c r="C9" s="13" t="s">
        <v>79</v>
      </c>
      <c r="D9" s="14">
        <v>45534</v>
      </c>
      <c r="E9" s="15">
        <v>0.375</v>
      </c>
      <c r="F9" s="15">
        <v>0.75</v>
      </c>
      <c r="G9" s="13">
        <v>41000</v>
      </c>
      <c r="H9" s="13">
        <v>45000</v>
      </c>
      <c r="I9" s="17" t="s">
        <v>178</v>
      </c>
      <c r="J9" s="13" t="s">
        <v>107</v>
      </c>
      <c r="N9" s="13" t="s">
        <v>179</v>
      </c>
    </row>
    <row r="10" spans="1:15">
      <c r="A10" s="13" t="s">
        <v>180</v>
      </c>
      <c r="B10" s="13" t="s">
        <v>181</v>
      </c>
      <c r="C10" s="13" t="s">
        <v>16</v>
      </c>
      <c r="D10" s="14">
        <v>45549</v>
      </c>
      <c r="E10" s="15">
        <v>0.3611111111111111</v>
      </c>
      <c r="F10" s="15">
        <v>0.73263888888888884</v>
      </c>
      <c r="G10" s="13">
        <v>80000</v>
      </c>
      <c r="H10" s="13">
        <v>75000</v>
      </c>
      <c r="I10" s="17" t="s">
        <v>182</v>
      </c>
      <c r="J10" s="13" t="s">
        <v>138</v>
      </c>
      <c r="N10" s="13" t="s">
        <v>183</v>
      </c>
    </row>
    <row r="11" spans="1:15">
      <c r="A11" s="13" t="s">
        <v>184</v>
      </c>
      <c r="B11" s="13" t="s">
        <v>185</v>
      </c>
      <c r="C11" s="13" t="s">
        <v>13</v>
      </c>
      <c r="D11" s="14">
        <v>45587</v>
      </c>
      <c r="E11" s="15">
        <v>0.3923611111111111</v>
      </c>
      <c r="F11" s="15">
        <v>0.77083333333333337</v>
      </c>
      <c r="G11" s="13">
        <v>53000</v>
      </c>
      <c r="H11" s="13">
        <v>55000</v>
      </c>
      <c r="I11" s="17" t="s">
        <v>186</v>
      </c>
      <c r="J11" s="13" t="s">
        <v>187</v>
      </c>
      <c r="N11" s="13" t="s">
        <v>188</v>
      </c>
    </row>
    <row r="12" spans="1:15">
      <c r="A12" s="13" t="s">
        <v>189</v>
      </c>
      <c r="B12" s="13" t="s">
        <v>190</v>
      </c>
      <c r="C12" s="13" t="s">
        <v>25</v>
      </c>
      <c r="D12" s="14">
        <v>45607</v>
      </c>
      <c r="E12" s="15">
        <v>0.37152777777777779</v>
      </c>
      <c r="F12" s="15">
        <v>0.73958333333333337</v>
      </c>
      <c r="G12" s="13">
        <v>49000</v>
      </c>
      <c r="H12" s="13">
        <v>50000</v>
      </c>
      <c r="I12" s="17" t="s">
        <v>191</v>
      </c>
      <c r="J12" s="13" t="s">
        <v>164</v>
      </c>
      <c r="N12" s="13" t="s">
        <v>192</v>
      </c>
    </row>
    <row r="13" spans="1:15">
      <c r="A13" s="13" t="s">
        <v>193</v>
      </c>
      <c r="B13" s="13" t="s">
        <v>194</v>
      </c>
      <c r="C13" s="13" t="s">
        <v>79</v>
      </c>
      <c r="D13" s="14">
        <v>45644</v>
      </c>
      <c r="E13" s="15">
        <v>0.37847222222222221</v>
      </c>
      <c r="F13" s="15">
        <v>0.75347222222222221</v>
      </c>
      <c r="G13" s="13">
        <v>42000</v>
      </c>
      <c r="H13" s="13">
        <v>45000</v>
      </c>
      <c r="I13" s="17" t="s">
        <v>195</v>
      </c>
      <c r="J13" s="13" t="s">
        <v>151</v>
      </c>
      <c r="N13" s="13" t="s">
        <v>196</v>
      </c>
    </row>
    <row r="14" spans="1:15">
      <c r="A14" s="13" t="s">
        <v>197</v>
      </c>
      <c r="B14" s="13" t="s">
        <v>198</v>
      </c>
      <c r="C14" s="13" t="s">
        <v>13</v>
      </c>
      <c r="D14" s="20">
        <v>45665</v>
      </c>
      <c r="E14" s="15">
        <v>0.375</v>
      </c>
      <c r="F14" s="15">
        <v>0.75</v>
      </c>
      <c r="G14" s="13">
        <v>65000</v>
      </c>
      <c r="H14" s="13">
        <v>60000</v>
      </c>
      <c r="I14" s="17" t="s">
        <v>199</v>
      </c>
      <c r="J14" s="13" t="s">
        <v>107</v>
      </c>
      <c r="N14" s="13" t="s">
        <v>200</v>
      </c>
    </row>
    <row r="15" spans="1:15">
      <c r="A15" s="13" t="s">
        <v>201</v>
      </c>
      <c r="B15" s="13" t="s">
        <v>202</v>
      </c>
      <c r="C15" s="13" t="s">
        <v>16</v>
      </c>
      <c r="D15" s="14">
        <v>45703</v>
      </c>
      <c r="E15" s="15">
        <v>0.36805555555555558</v>
      </c>
      <c r="F15" s="15">
        <v>0.74305555555555558</v>
      </c>
      <c r="G15" s="13">
        <v>58000</v>
      </c>
      <c r="H15" s="13">
        <v>60000</v>
      </c>
      <c r="I15" s="17" t="s">
        <v>203</v>
      </c>
      <c r="J15" s="13" t="s">
        <v>204</v>
      </c>
      <c r="N15" s="13" t="s">
        <v>205</v>
      </c>
    </row>
    <row r="16" spans="1:15">
      <c r="A16" s="13" t="s">
        <v>206</v>
      </c>
      <c r="B16" s="13" t="s">
        <v>207</v>
      </c>
      <c r="C16" s="13" t="s">
        <v>25</v>
      </c>
      <c r="D16" s="14">
        <v>45736</v>
      </c>
      <c r="E16" s="15">
        <v>0.38194444444444442</v>
      </c>
      <c r="F16" s="15">
        <v>0.75694444444444442</v>
      </c>
      <c r="G16" s="13">
        <v>47000</v>
      </c>
      <c r="H16" s="13">
        <v>50000</v>
      </c>
      <c r="I16" s="17" t="s">
        <v>208</v>
      </c>
      <c r="J16" s="13" t="s">
        <v>169</v>
      </c>
      <c r="N16" s="13" t="s">
        <v>209</v>
      </c>
    </row>
    <row r="17" spans="1:14">
      <c r="A17" s="13" t="s">
        <v>210</v>
      </c>
      <c r="B17" s="13" t="s">
        <v>211</v>
      </c>
      <c r="C17" s="13" t="s">
        <v>13</v>
      </c>
      <c r="D17" s="20">
        <v>45752</v>
      </c>
      <c r="E17" s="15">
        <v>0.36458333333333331</v>
      </c>
      <c r="F17" s="15">
        <v>0.73958333333333337</v>
      </c>
      <c r="G17" s="13">
        <v>72000</v>
      </c>
      <c r="H17" s="13">
        <v>70000</v>
      </c>
      <c r="I17" s="17" t="s">
        <v>212</v>
      </c>
      <c r="J17" s="13" t="s">
        <v>151</v>
      </c>
      <c r="N17" s="13" t="s">
        <v>213</v>
      </c>
    </row>
    <row r="18" spans="1:14">
      <c r="A18" s="13" t="s">
        <v>214</v>
      </c>
      <c r="B18" s="13" t="s">
        <v>215</v>
      </c>
      <c r="C18" s="13" t="s">
        <v>79</v>
      </c>
      <c r="D18" s="21">
        <v>45789</v>
      </c>
      <c r="E18" s="15">
        <v>0.3888888888888889</v>
      </c>
      <c r="F18" s="15">
        <v>0.76388888888888884</v>
      </c>
      <c r="G18" s="13">
        <v>39000</v>
      </c>
      <c r="H18" s="13">
        <v>40000</v>
      </c>
      <c r="I18" s="17" t="s">
        <v>216</v>
      </c>
      <c r="J18" s="13" t="s">
        <v>217</v>
      </c>
      <c r="N18" s="13" t="s">
        <v>218</v>
      </c>
    </row>
    <row r="19" spans="1:14">
      <c r="A19" s="13" t="s">
        <v>219</v>
      </c>
      <c r="B19" s="13" t="s">
        <v>220</v>
      </c>
      <c r="C19" s="13" t="s">
        <v>16</v>
      </c>
      <c r="D19" s="14">
        <v>45827</v>
      </c>
      <c r="E19" s="15">
        <v>0.37847222222222221</v>
      </c>
      <c r="F19" s="15">
        <v>0.75347222222222221</v>
      </c>
      <c r="G19" s="13">
        <v>85000</v>
      </c>
      <c r="H19" s="13">
        <v>80000</v>
      </c>
      <c r="I19" s="17" t="s">
        <v>222</v>
      </c>
      <c r="J19" s="13" t="s">
        <v>187</v>
      </c>
      <c r="N19" s="13" t="s">
        <v>225</v>
      </c>
    </row>
    <row r="20" spans="1:14">
      <c r="A20" s="13" t="s">
        <v>227</v>
      </c>
      <c r="B20" s="13" t="s">
        <v>228</v>
      </c>
      <c r="C20" s="13" t="s">
        <v>25</v>
      </c>
      <c r="D20" s="14">
        <v>45863</v>
      </c>
      <c r="E20" s="15">
        <v>0.37152777777777779</v>
      </c>
      <c r="F20" s="15">
        <v>0.74652777777777779</v>
      </c>
      <c r="G20" s="13">
        <v>51000</v>
      </c>
      <c r="H20" s="13">
        <v>50000</v>
      </c>
      <c r="I20" s="17" t="s">
        <v>230</v>
      </c>
      <c r="J20" s="13" t="s">
        <v>107</v>
      </c>
      <c r="N20" s="13" t="s">
        <v>234</v>
      </c>
    </row>
    <row r="21" spans="1:14">
      <c r="A21" s="13" t="s">
        <v>235</v>
      </c>
      <c r="B21" s="13" t="s">
        <v>236</v>
      </c>
      <c r="C21" s="13" t="s">
        <v>13</v>
      </c>
      <c r="D21" s="14">
        <v>45899</v>
      </c>
      <c r="E21" s="15">
        <v>0.38541666666666669</v>
      </c>
      <c r="F21" s="15">
        <v>0.76041666666666663</v>
      </c>
      <c r="G21" s="13">
        <v>60000</v>
      </c>
      <c r="H21" s="13">
        <v>55000</v>
      </c>
      <c r="I21" s="17" t="s">
        <v>239</v>
      </c>
      <c r="J21" s="13" t="s">
        <v>174</v>
      </c>
      <c r="N21" s="13" t="s">
        <v>244</v>
      </c>
    </row>
    <row r="22" spans="1:14">
      <c r="N22" s="13" t="s">
        <v>245</v>
      </c>
    </row>
    <row r="27" spans="1:14">
      <c r="N27" s="13" t="s">
        <v>246</v>
      </c>
    </row>
    <row r="28" spans="1:14">
      <c r="N28" s="13" t="s">
        <v>248</v>
      </c>
    </row>
    <row r="29" spans="1:14">
      <c r="N29" s="13" t="s">
        <v>250</v>
      </c>
    </row>
    <row r="30" spans="1:14">
      <c r="N30" s="13" t="s">
        <v>252</v>
      </c>
    </row>
    <row r="31" spans="1:14">
      <c r="N31" s="13" t="s">
        <v>254</v>
      </c>
    </row>
    <row r="32" spans="1:14">
      <c r="N32" s="13" t="s">
        <v>256</v>
      </c>
    </row>
    <row r="33" spans="14:14">
      <c r="N33" s="13" t="s">
        <v>257</v>
      </c>
    </row>
    <row r="34" spans="14:14">
      <c r="N34" s="13" t="s">
        <v>258</v>
      </c>
    </row>
    <row r="35" spans="14:14">
      <c r="N35" s="13" t="s">
        <v>259</v>
      </c>
    </row>
    <row r="36" spans="14:14">
      <c r="N36" s="13" t="s">
        <v>261</v>
      </c>
    </row>
    <row r="37" spans="14:14">
      <c r="N37" s="13" t="s">
        <v>263</v>
      </c>
    </row>
    <row r="38" spans="14:14">
      <c r="N38" s="13" t="s">
        <v>265</v>
      </c>
    </row>
    <row r="39" spans="14:14">
      <c r="N39" s="13" t="s">
        <v>268</v>
      </c>
    </row>
    <row r="40" spans="14:14">
      <c r="N40" s="13" t="s">
        <v>269</v>
      </c>
    </row>
    <row r="41" spans="14:14">
      <c r="N41" s="13" t="s">
        <v>270</v>
      </c>
    </row>
  </sheetData>
  <hyperlinks>
    <hyperlink ref="I2" r:id="rId1" xr:uid="{00000000-0004-0000-0600-000000000000}"/>
    <hyperlink ref="I3" r:id="rId2" xr:uid="{00000000-0004-0000-0600-000001000000}"/>
    <hyperlink ref="I4" r:id="rId3" xr:uid="{00000000-0004-0000-0600-000002000000}"/>
    <hyperlink ref="I5" r:id="rId4" xr:uid="{00000000-0004-0000-0600-000003000000}"/>
    <hyperlink ref="I6" r:id="rId5" xr:uid="{00000000-0004-0000-0600-000004000000}"/>
    <hyperlink ref="I7" r:id="rId6" xr:uid="{00000000-0004-0000-0600-000005000000}"/>
    <hyperlink ref="I8" r:id="rId7" xr:uid="{00000000-0004-0000-0600-000006000000}"/>
    <hyperlink ref="I9" r:id="rId8" xr:uid="{00000000-0004-0000-0600-000007000000}"/>
    <hyperlink ref="I10" r:id="rId9" xr:uid="{00000000-0004-0000-0600-000008000000}"/>
    <hyperlink ref="I11" r:id="rId10" xr:uid="{00000000-0004-0000-0600-000009000000}"/>
    <hyperlink ref="I12" r:id="rId11" xr:uid="{00000000-0004-0000-0600-00000A000000}"/>
    <hyperlink ref="I13" r:id="rId12" xr:uid="{00000000-0004-0000-0600-00000B000000}"/>
    <hyperlink ref="I14" r:id="rId13" xr:uid="{00000000-0004-0000-0600-00000C000000}"/>
    <hyperlink ref="I15" r:id="rId14" xr:uid="{00000000-0004-0000-0600-00000D000000}"/>
    <hyperlink ref="I16" r:id="rId15" xr:uid="{00000000-0004-0000-0600-00000E000000}"/>
    <hyperlink ref="I17" r:id="rId16" xr:uid="{00000000-0004-0000-0600-00000F000000}"/>
    <hyperlink ref="I18" r:id="rId17" xr:uid="{00000000-0004-0000-0600-000010000000}"/>
    <hyperlink ref="I19" r:id="rId18" xr:uid="{00000000-0004-0000-0600-000011000000}"/>
    <hyperlink ref="I20" r:id="rId19" xr:uid="{00000000-0004-0000-0600-000012000000}"/>
    <hyperlink ref="I21" r:id="rId20" xr:uid="{00000000-0004-0000-0600-000013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selection activeCell="I9" sqref="I9"/>
    </sheetView>
  </sheetViews>
  <sheetFormatPr defaultColWidth="14.44140625" defaultRowHeight="15" customHeight="1"/>
  <cols>
    <col min="1" max="1" width="11.88671875" customWidth="1"/>
    <col min="2" max="2" width="15.109375" customWidth="1"/>
    <col min="3" max="3" width="14" customWidth="1"/>
    <col min="4" max="4" width="17" customWidth="1"/>
    <col min="5" max="5" width="14.109375" customWidth="1"/>
    <col min="6" max="7" width="8.6640625" customWidth="1"/>
    <col min="8" max="8" width="75" customWidth="1"/>
    <col min="9" max="26" width="8.6640625" customWidth="1"/>
  </cols>
  <sheetData>
    <row r="1" spans="1:9" ht="14.25" customHeight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106</v>
      </c>
    </row>
    <row r="2" spans="1:9" ht="14.25" customHeight="1">
      <c r="A2" s="18" t="s">
        <v>108</v>
      </c>
      <c r="B2" s="18" t="s">
        <v>111</v>
      </c>
      <c r="C2" s="19">
        <v>1200</v>
      </c>
      <c r="D2" s="18">
        <v>15</v>
      </c>
      <c r="E2" s="18" t="s">
        <v>114</v>
      </c>
    </row>
    <row r="3" spans="1:9" ht="14.25" customHeight="1">
      <c r="A3" s="18" t="s">
        <v>116</v>
      </c>
      <c r="B3" s="18" t="s">
        <v>111</v>
      </c>
      <c r="C3" s="19">
        <v>800</v>
      </c>
      <c r="D3" s="18">
        <v>30</v>
      </c>
      <c r="E3" s="18" t="s">
        <v>118</v>
      </c>
      <c r="G3" s="2">
        <v>1</v>
      </c>
      <c r="H3" s="2" t="s">
        <v>119</v>
      </c>
    </row>
    <row r="4" spans="1:9" ht="14.25" customHeight="1">
      <c r="A4" s="18" t="s">
        <v>120</v>
      </c>
      <c r="B4" s="18" t="s">
        <v>111</v>
      </c>
      <c r="C4" s="19">
        <v>500</v>
      </c>
      <c r="D4" s="18">
        <v>20</v>
      </c>
      <c r="E4" s="18" t="s">
        <v>122</v>
      </c>
      <c r="G4" s="2">
        <v>2</v>
      </c>
      <c r="H4" s="2" t="s">
        <v>123</v>
      </c>
      <c r="I4">
        <f>SUMIFS(Table_1[Price],Table_1[Category],"electronics",Table_1[Region],"south")</f>
        <v>1100</v>
      </c>
    </row>
    <row r="5" spans="1:9" ht="14.25" customHeight="1">
      <c r="A5" s="18" t="s">
        <v>126</v>
      </c>
      <c r="B5" s="18" t="s">
        <v>127</v>
      </c>
      <c r="C5" s="19">
        <v>150</v>
      </c>
      <c r="D5" s="18">
        <v>40</v>
      </c>
      <c r="E5" s="18" t="s">
        <v>131</v>
      </c>
      <c r="G5" s="2">
        <v>3</v>
      </c>
      <c r="H5" s="2" t="s">
        <v>132</v>
      </c>
      <c r="I5">
        <f>COUNTIF(Table_1[Category],"accessories")</f>
        <v>3</v>
      </c>
    </row>
    <row r="6" spans="1:9" ht="14.25" customHeight="1">
      <c r="A6" s="18" t="s">
        <v>133</v>
      </c>
      <c r="B6" s="18" t="s">
        <v>127</v>
      </c>
      <c r="C6" s="19">
        <v>100</v>
      </c>
      <c r="D6" s="18">
        <v>25</v>
      </c>
      <c r="E6" s="18" t="s">
        <v>114</v>
      </c>
      <c r="G6" s="2">
        <v>4</v>
      </c>
      <c r="H6" s="2" t="s">
        <v>136</v>
      </c>
      <c r="I6">
        <f>COUNTIFS(Table_1[Category],"electronics",Table_1[Region],"north")</f>
        <v>1</v>
      </c>
    </row>
    <row r="7" spans="1:9" ht="14.25" customHeight="1">
      <c r="A7" s="18" t="s">
        <v>137</v>
      </c>
      <c r="B7" s="18" t="s">
        <v>111</v>
      </c>
      <c r="C7" s="19">
        <v>300</v>
      </c>
      <c r="D7" s="18">
        <v>10</v>
      </c>
      <c r="E7" s="18" t="s">
        <v>118</v>
      </c>
      <c r="G7" s="2">
        <v>5</v>
      </c>
      <c r="H7" s="2" t="s">
        <v>139</v>
      </c>
    </row>
    <row r="8" spans="1:9" ht="14.25" customHeight="1">
      <c r="A8" s="18" t="s">
        <v>142</v>
      </c>
      <c r="B8" s="18" t="s">
        <v>127</v>
      </c>
      <c r="C8" s="19">
        <v>50</v>
      </c>
      <c r="D8" s="18">
        <v>35</v>
      </c>
      <c r="E8" s="18" t="s">
        <v>122</v>
      </c>
      <c r="G8" s="13">
        <v>6</v>
      </c>
      <c r="H8" s="13" t="s">
        <v>145</v>
      </c>
      <c r="I8">
        <f>COUNTA(Table_1[Price])</f>
        <v>8</v>
      </c>
    </row>
    <row r="9" spans="1:9" ht="14.25" customHeight="1">
      <c r="A9" s="18" t="s">
        <v>146</v>
      </c>
      <c r="B9" s="18" t="s">
        <v>111</v>
      </c>
      <c r="C9" s="19">
        <v>200</v>
      </c>
      <c r="D9" s="18">
        <v>5</v>
      </c>
      <c r="E9" s="18" t="s">
        <v>131</v>
      </c>
      <c r="G9" s="13">
        <v>7</v>
      </c>
      <c r="H9" s="13" t="s">
        <v>149</v>
      </c>
      <c r="I9">
        <f>MIN(Table_1[Price])</f>
        <v>50</v>
      </c>
    </row>
    <row r="10" spans="1:9" ht="14.25" customHeight="1">
      <c r="G10" s="13">
        <v>8</v>
      </c>
      <c r="H10" s="13" t="s">
        <v>150</v>
      </c>
      <c r="I10">
        <f>MAX(Table_1[Price])</f>
        <v>1200</v>
      </c>
    </row>
    <row r="11" spans="1:9" ht="14.25" customHeight="1"/>
    <row r="12" spans="1:9" ht="14.25" customHeight="1">
      <c r="B12" s="2" t="s">
        <v>154</v>
      </c>
      <c r="C12">
        <f>SUMIF(Table_1[Category],"electronics",Table_1[Price])</f>
        <v>3000</v>
      </c>
    </row>
    <row r="13" spans="1:9" ht="14.25" customHeight="1">
      <c r="B13" s="2" t="s">
        <v>155</v>
      </c>
    </row>
    <row r="14" spans="1:9" ht="14.25" customHeight="1">
      <c r="B14" s="2" t="s">
        <v>157</v>
      </c>
    </row>
    <row r="15" spans="1:9" ht="14.25" customHeight="1">
      <c r="B15" s="2" t="s">
        <v>159</v>
      </c>
    </row>
    <row r="16" spans="1:9" ht="14.25" customHeight="1">
      <c r="B16" s="13" t="s">
        <v>160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3"/>
  <sheetViews>
    <sheetView workbookViewId="0"/>
  </sheetViews>
  <sheetFormatPr defaultColWidth="14.44140625" defaultRowHeight="15" customHeight="1"/>
  <cols>
    <col min="1" max="1" width="14.109375" customWidth="1"/>
    <col min="2" max="2" width="19.44140625" customWidth="1"/>
    <col min="3" max="3" width="17.109375" customWidth="1"/>
    <col min="4" max="4" width="19.88671875" customWidth="1"/>
    <col min="5" max="7" width="8.6640625" customWidth="1"/>
    <col min="8" max="8" width="84.44140625" customWidth="1"/>
    <col min="9" max="26" width="8.6640625" customWidth="1"/>
  </cols>
  <sheetData>
    <row r="1" spans="1:8" ht="14.25" customHeight="1">
      <c r="A1" s="22" t="s">
        <v>2</v>
      </c>
      <c r="B1" s="16" t="s">
        <v>4</v>
      </c>
      <c r="C1" s="16" t="s">
        <v>13</v>
      </c>
      <c r="D1" s="16" t="s">
        <v>106</v>
      </c>
    </row>
    <row r="2" spans="1:8" ht="14.25" customHeight="1">
      <c r="A2" s="18" t="s">
        <v>221</v>
      </c>
      <c r="B2" s="18" t="s">
        <v>10</v>
      </c>
      <c r="C2" s="18">
        <v>5000</v>
      </c>
      <c r="D2" s="18" t="s">
        <v>114</v>
      </c>
      <c r="H2" s="13" t="s">
        <v>223</v>
      </c>
    </row>
    <row r="3" spans="1:8" ht="14.25" customHeight="1">
      <c r="A3" s="18" t="s">
        <v>224</v>
      </c>
      <c r="B3" s="18" t="s">
        <v>13</v>
      </c>
      <c r="C3" s="18">
        <v>7000</v>
      </c>
      <c r="D3" s="18" t="s">
        <v>118</v>
      </c>
      <c r="H3" s="2" t="s">
        <v>226</v>
      </c>
    </row>
    <row r="4" spans="1:8" ht="14.25" customHeight="1">
      <c r="A4" s="18"/>
      <c r="B4" s="18" t="s">
        <v>10</v>
      </c>
      <c r="C4" s="18">
        <v>3000</v>
      </c>
      <c r="D4" s="18" t="s">
        <v>122</v>
      </c>
      <c r="H4" s="2" t="s">
        <v>229</v>
      </c>
    </row>
    <row r="5" spans="1:8" ht="14.25" customHeight="1">
      <c r="A5" s="18" t="s">
        <v>231</v>
      </c>
      <c r="B5" s="18" t="s">
        <v>13</v>
      </c>
      <c r="C5" s="18">
        <v>4000</v>
      </c>
      <c r="D5" s="18" t="s">
        <v>131</v>
      </c>
      <c r="H5" s="2" t="s">
        <v>232</v>
      </c>
    </row>
    <row r="6" spans="1:8" ht="14.25" customHeight="1">
      <c r="A6" s="18" t="s">
        <v>233</v>
      </c>
      <c r="B6" s="18" t="s">
        <v>79</v>
      </c>
      <c r="C6" s="18">
        <v>2000</v>
      </c>
      <c r="D6" s="18" t="s">
        <v>114</v>
      </c>
      <c r="H6" s="2" t="s">
        <v>237</v>
      </c>
    </row>
    <row r="7" spans="1:8" ht="14.25" customHeight="1">
      <c r="A7" s="18" t="s">
        <v>238</v>
      </c>
      <c r="B7" s="18" t="s">
        <v>13</v>
      </c>
      <c r="C7" s="18">
        <v>6000</v>
      </c>
      <c r="D7" s="18" t="s">
        <v>122</v>
      </c>
      <c r="H7" s="2" t="s">
        <v>240</v>
      </c>
    </row>
    <row r="8" spans="1:8" ht="14.25" customHeight="1">
      <c r="A8" s="18" t="s">
        <v>241</v>
      </c>
      <c r="B8" s="18" t="s">
        <v>10</v>
      </c>
      <c r="C8" s="18">
        <v>4500</v>
      </c>
      <c r="D8" s="18" t="s">
        <v>131</v>
      </c>
      <c r="H8" s="13" t="s">
        <v>242</v>
      </c>
    </row>
    <row r="9" spans="1:8" ht="14.25" customHeight="1">
      <c r="A9" s="18" t="s">
        <v>243</v>
      </c>
      <c r="B9" s="23" t="s">
        <v>25</v>
      </c>
      <c r="C9" s="18">
        <v>3500</v>
      </c>
      <c r="D9" s="18" t="s">
        <v>118</v>
      </c>
      <c r="H9" s="13" t="s">
        <v>247</v>
      </c>
    </row>
    <row r="10" spans="1:8" ht="14.25" customHeight="1">
      <c r="H10" s="13" t="s">
        <v>249</v>
      </c>
    </row>
    <row r="11" spans="1:8" ht="14.25" customHeight="1">
      <c r="B11" s="2" t="s">
        <v>251</v>
      </c>
    </row>
    <row r="12" spans="1:8" ht="14.25" customHeight="1">
      <c r="B12" s="13" t="s">
        <v>253</v>
      </c>
    </row>
    <row r="13" spans="1:8" ht="14.25" customHeight="1">
      <c r="B13" s="13" t="s">
        <v>255</v>
      </c>
    </row>
    <row r="14" spans="1:8" ht="14.25" customHeight="1">
      <c r="B14" s="2" t="s">
        <v>157</v>
      </c>
    </row>
    <row r="15" spans="1:8" ht="14.25" customHeight="1">
      <c r="B15" s="2" t="s">
        <v>159</v>
      </c>
    </row>
    <row r="16" spans="1:8" ht="14.25" customHeight="1">
      <c r="B16" s="13" t="s">
        <v>160</v>
      </c>
    </row>
    <row r="17" spans="2:6" ht="14.25" customHeight="1">
      <c r="B17" s="2" t="s">
        <v>260</v>
      </c>
    </row>
    <row r="18" spans="2:6" ht="14.25" customHeight="1">
      <c r="B18" s="13" t="s">
        <v>262</v>
      </c>
    </row>
    <row r="19" spans="2:6" ht="14.25" customHeight="1">
      <c r="B19" s="13" t="s">
        <v>264</v>
      </c>
    </row>
    <row r="20" spans="2:6" ht="14.25" customHeight="1">
      <c r="B20" s="2" t="s">
        <v>266</v>
      </c>
    </row>
    <row r="21" spans="2:6" ht="14.25" customHeight="1">
      <c r="B21" s="2" t="s">
        <v>267</v>
      </c>
      <c r="C21" s="2" t="e">
        <f t="array" aca="1" ref="C21:C24" ca="1">_xludf.unique(B2:B9)</f>
        <v>#NAME?</v>
      </c>
      <c r="F21" s="24"/>
    </row>
    <row r="22" spans="2:6" ht="14.25" customHeight="1">
      <c r="B22" s="2" t="s">
        <v>271</v>
      </c>
      <c r="C22" s="2" t="e">
        <f ca="1"/>
        <v>#NAME?</v>
      </c>
    </row>
    <row r="23" spans="2:6" ht="14.25" customHeight="1">
      <c r="C23" s="2" t="e">
        <f ca="1"/>
        <v>#NAME?</v>
      </c>
    </row>
    <row r="24" spans="2:6" ht="14.25" customHeight="1">
      <c r="C24" s="2" t="e">
        <f ca="1"/>
        <v>#NAME?</v>
      </c>
    </row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XLookup</vt:lpstr>
      <vt:lpstr>V_Data</vt:lpstr>
      <vt:lpstr>VLookup</vt:lpstr>
      <vt:lpstr>H_Data</vt:lpstr>
      <vt:lpstr>HLookup</vt:lpstr>
      <vt:lpstr>Index Match</vt:lpstr>
      <vt:lpstr>basic functions</vt:lpstr>
      <vt:lpstr>Task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</cp:lastModifiedBy>
  <dcterms:created xsi:type="dcterms:W3CDTF">2025-02-16T07:57:20Z</dcterms:created>
  <dcterms:modified xsi:type="dcterms:W3CDTF">2026-08-11T11:38:33Z</dcterms:modified>
</cp:coreProperties>
</file>